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This Year" sheetId="5" state="visible" r:id="rId5"/>
    <sheet xmlns:r="http://schemas.openxmlformats.org/officeDocument/2006/relationships" name="Last Year" sheetId="6" state="visible" r:id="rId6"/>
    <sheet xmlns:r="http://schemas.openxmlformats.org/officeDocument/2006/relationships" name="Year on Year" sheetId="7" state="visible" r:id="rId7"/>
    <sheet xmlns:r="http://schemas.openxmlformats.org/officeDocument/2006/relationships" name="By Division" sheetId="8" state="visible" r:id="rId8"/>
    <sheet xmlns:r="http://schemas.openxmlformats.org/officeDocument/2006/relationships" name="Budget P&amp;L" sheetId="9" state="visible" r:id="rId9"/>
    <sheet xmlns:r="http://schemas.openxmlformats.org/officeDocument/2006/relationships" name="Budget vs Actual" sheetId="10" state="visible" r:id="rId10"/>
  </sheets>
  <definedNames>
    <definedName name="_xlnm._FilterDatabase" localSheetId="2" hidden="1">'Actuals'!$A$3:$AA$193</definedName>
    <definedName name="_xlnm._FilterDatabase" localSheetId="3" hidden="1">'Budget'!$A$3:$AA$193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1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sz val="9"/>
    </font>
    <font>
      <name val="Arial"/>
      <b val="1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F4E79"/>
      <sz val="11"/>
    </font>
    <font>
      <name val="Arial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1F4E79"/>
      <sz val="18"/>
    </font>
    <font>
      <name val="Arial"/>
      <b val="1"/>
      <color rgb="001F4E79"/>
      <sz val="12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164" fontId="4" fillId="3" borderId="1" pivotButton="0" quotePrefix="0" xfId="0"/>
    <xf numFmtId="0" fontId="5" fillId="4" borderId="0" pivotButton="0" quotePrefix="0" xfId="0"/>
    <xf numFmtId="0" fontId="0" fillId="4" borderId="0" pivotButton="0" quotePrefix="0" xfId="0"/>
    <xf numFmtId="164" fontId="4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7" fillId="5" borderId="0" pivotButton="0" quotePrefix="0" xfId="0"/>
    <xf numFmtId="165" fontId="7" fillId="5" borderId="0" pivotButton="0" quotePrefix="0" xfId="0"/>
    <xf numFmtId="0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12" fillId="0" borderId="0" pivotButton="0" quotePrefix="0" xfId="0"/>
    <xf numFmtId="164" fontId="13" fillId="0" borderId="0" pivotButton="0" quotePrefix="0" xfId="0"/>
    <xf numFmtId="164" fontId="7" fillId="0" borderId="0" pivotButton="0" quotePrefix="0" xfId="0"/>
    <xf numFmtId="0" fontId="5" fillId="5" borderId="0" pivotButton="0" quotePrefix="0" xfId="0"/>
    <xf numFmtId="0" fontId="8" fillId="0" borderId="0" pivotButton="0" quotePrefix="0" xfId="0"/>
    <xf numFmtId="165" fontId="4" fillId="0" borderId="0" pivotButton="0" quotePrefix="0" xfId="0"/>
    <xf numFmtId="0" fontId="9" fillId="5" borderId="0" pivotButton="0" quotePrefix="0" xfId="0"/>
    <xf numFmtId="0" fontId="1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24" t="inlineStr">
        <is>
          <t>CTS P&amp;L Reporting</t>
        </is>
      </c>
    </row>
    <row r="3">
      <c r="B3" s="25" t="inlineStr">
        <is>
          <t>Corporate Technology Services Pty Ltd    Financial year 1 July to 30 June    AUD</t>
        </is>
      </c>
    </row>
    <row r="5">
      <c r="B5" s="26" t="inlineStr">
        <is>
          <t>The one rule</t>
        </is>
      </c>
    </row>
    <row r="6" ht="42" customHeight="1">
      <c r="B6" s="27" t="inlineStr">
        <is>
          <t>You only ever type into two sheets: Actuals and Budget. Every other sheet is calculated and will update itself. If you find yourself typing a number anywhere else, something has gone wrong.</t>
        </is>
      </c>
    </row>
    <row r="8">
      <c r="B8" s="26" t="inlineStr">
        <is>
          <t>Adding a month</t>
        </is>
      </c>
    </row>
    <row r="9" ht="18" customHeight="1">
      <c r="B9" s="27" t="inlineStr">
        <is>
          <t>1.  In Xero, run the Profit and Loss report for the month and export it to Excel.</t>
        </is>
      </c>
    </row>
    <row r="10" ht="18" customHeight="1">
      <c r="B10" s="27" t="inlineStr">
        <is>
          <t>2.  Open the Actuals sheet here and find the column for that month.</t>
        </is>
      </c>
    </row>
    <row r="11" ht="18" customHeight="1">
      <c r="B11" s="27" t="inlineStr">
        <is>
          <t>3.  Paste the figures into the yellow cells in that column, matching account to account.</t>
        </is>
      </c>
    </row>
    <row r="12" ht="18" customHeight="1">
      <c r="B12" s="27" t="inlineStr">
        <is>
          <t>4.  That is it. Every other sheet has already updated.</t>
        </is>
      </c>
    </row>
    <row r="14">
      <c r="B14" s="26" t="inlineStr">
        <is>
          <t>Checking your paste worked</t>
        </is>
      </c>
    </row>
    <row r="15" ht="56" customHeight="1">
      <c r="B15" s="27" t="inlineStr">
        <is>
          <t>The Summary sheet ends with a Reconciliation Check. It compares the workbook's FY26 totals against the figures pulled straight from Xero on 3 September 2026. Once FY26 is pasted in, the Difference column should read zero. Anything else means the paste is incomplete or a row has slipped out of alignment.</t>
        </is>
      </c>
    </row>
    <row r="17">
      <c r="B17" s="26" t="inlineStr">
        <is>
          <t>What is on each sheet</t>
        </is>
      </c>
    </row>
    <row r="18">
      <c r="B18" s="28" t="inlineStr">
        <is>
          <t>Summary          Monthly, quarterly and year on year on one page, plus the reconciliation check.</t>
        </is>
      </c>
    </row>
    <row r="19">
      <c r="B19" s="28" t="inlineStr">
        <is>
          <t>Actuals          Your figures. 190 accounts down, 24 months across, FY26 and FY27. Paste here.</t>
        </is>
      </c>
    </row>
    <row r="20">
      <c r="B20" s="28" t="inlineStr">
        <is>
          <t>Budget          The budget, in exactly the same layout. Enter it here.</t>
        </is>
      </c>
    </row>
    <row r="21">
      <c r="B21" s="28" t="inlineStr">
        <is>
          <t>This Year          Full FY27 P&amp;L, month by month.</t>
        </is>
      </c>
    </row>
    <row r="22">
      <c r="B22" s="28" t="inlineStr">
        <is>
          <t>Last Year          Full FY26 P&amp;L, month by month.</t>
        </is>
      </c>
    </row>
    <row r="23">
      <c r="B23" s="28" t="inlineStr">
        <is>
          <t>Budget P&amp;L          The budget in P&amp;L form, so it lines up against the other two.</t>
        </is>
      </c>
    </row>
    <row r="24">
      <c r="B24" s="28" t="inlineStr">
        <is>
          <t>Year on Year          FY27 against FY26, account by account, with variances.</t>
        </is>
      </c>
    </row>
    <row r="25">
      <c r="B25" s="28" t="inlineStr">
        <is>
          <t>Budget vs Actual          Actual against budget, account by account, with variances.</t>
        </is>
      </c>
    </row>
    <row r="26">
      <c r="B26" s="28" t="inlineStr">
        <is>
          <t>By Division          Income, cost of sales and gross profit split by division, month by month.</t>
        </is>
      </c>
    </row>
    <row r="28">
      <c r="B28" s="26" t="inlineStr">
        <is>
          <t>Where the account list came from</t>
        </is>
      </c>
    </row>
    <row r="29" ht="56" customHeight="1">
      <c r="B29" s="27" t="inlineStr">
        <is>
          <t>All 190 accounts were read directly from your Xero chart of accounts on 3 September 2026, so the names match Xero exactly and your export should paste straight in. Many carry no balance in a given month; that is normal and they are kept so the P&amp;L stays complete.</t>
        </is>
      </c>
    </row>
    <row r="31">
      <c r="B31" s="26" t="inlineStr">
        <is>
          <t>Divisions</t>
        </is>
      </c>
    </row>
    <row r="32" ht="42" customHeight="1">
      <c r="B32" s="27" t="inlineStr">
        <is>
          <t>Division is derived from the account name suffix: ONS is Onsite, PRD is Production, VID is Video, CONS is Consulting, plus Integration and Admin. 88 accounts carry a division. The other 102 are shared overheads and show as Unallocated.</t>
        </is>
      </c>
    </row>
    <row r="34">
      <c r="B34" s="26" t="inlineStr">
        <is>
          <t>When FY28 starts</t>
        </is>
      </c>
    </row>
    <row r="35" ht="30" customHeight="1">
      <c r="B35" s="27" t="inlineStr">
        <is>
          <t>This workbook holds FY26 and FY27. When FY28 begins, send it back to me and I will roll it forward rather than you rebuilding it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Summary: FY27</t>
        </is>
      </c>
    </row>
    <row r="2">
      <c r="A2" s="2" t="inlineStr">
        <is>
          <t>Everything here is calculated. The only sheets you type into are Actuals and Budget.</t>
        </is>
      </c>
    </row>
    <row r="4">
      <c r="A4" s="14" t="inlineStr">
        <is>
          <t>MONTHLY</t>
        </is>
      </c>
    </row>
    <row r="5" ht="28" customHeight="1">
      <c r="A5" s="3" t="inlineStr">
        <is>
          <t xml:space="preserve">  </t>
        </is>
      </c>
      <c r="B5" s="4" t="inlineStr">
        <is>
          <t>Jul-26</t>
        </is>
      </c>
      <c r="C5" s="4" t="inlineStr">
        <is>
          <t>Aug-26</t>
        </is>
      </c>
      <c r="D5" s="4" t="inlineStr">
        <is>
          <t>Sep-26</t>
        </is>
      </c>
      <c r="E5" s="4" t="inlineStr">
        <is>
          <t>Oct-26</t>
        </is>
      </c>
      <c r="F5" s="4" t="inlineStr">
        <is>
          <t>Nov-26</t>
        </is>
      </c>
      <c r="G5" s="4" t="inlineStr">
        <is>
          <t>Dec-26</t>
        </is>
      </c>
      <c r="H5" s="4" t="inlineStr">
        <is>
          <t>Jan-27</t>
        </is>
      </c>
      <c r="I5" s="4" t="inlineStr">
        <is>
          <t>Feb-27</t>
        </is>
      </c>
      <c r="J5" s="4" t="inlineStr">
        <is>
          <t>Mar-27</t>
        </is>
      </c>
      <c r="K5" s="4" t="inlineStr">
        <is>
          <t>Apr-27</t>
        </is>
      </c>
      <c r="L5" s="4" t="inlineStr">
        <is>
          <t>May-27</t>
        </is>
      </c>
      <c r="M5" s="4" t="inlineStr">
        <is>
          <t>Jun-27</t>
        </is>
      </c>
      <c r="N5" s="4" t="inlineStr">
        <is>
          <t>FY27 Total</t>
        </is>
      </c>
    </row>
    <row r="6">
      <c r="A6" s="11" t="inlineStr">
        <is>
          <t>Total Income</t>
        </is>
      </c>
      <c r="B6" s="15">
        <f>'This Year'!B40</f>
        <v/>
      </c>
      <c r="C6" s="15">
        <f>'This Year'!C40</f>
        <v/>
      </c>
      <c r="D6" s="15">
        <f>'This Year'!D40</f>
        <v/>
      </c>
      <c r="E6" s="15">
        <f>'This Year'!E40</f>
        <v/>
      </c>
      <c r="F6" s="15">
        <f>'This Year'!F40</f>
        <v/>
      </c>
      <c r="G6" s="15">
        <f>'This Year'!G40</f>
        <v/>
      </c>
      <c r="H6" s="15">
        <f>'This Year'!H40</f>
        <v/>
      </c>
      <c r="I6" s="15">
        <f>'This Year'!I40</f>
        <v/>
      </c>
      <c r="J6" s="15">
        <f>'This Year'!J40</f>
        <v/>
      </c>
      <c r="K6" s="15">
        <f>'This Year'!K40</f>
        <v/>
      </c>
      <c r="L6" s="15">
        <f>'This Year'!L40</f>
        <v/>
      </c>
      <c r="M6" s="15">
        <f>'This Year'!M40</f>
        <v/>
      </c>
      <c r="N6" s="12">
        <f>'This Year'!N40</f>
        <v/>
      </c>
    </row>
    <row r="7">
      <c r="A7" s="11" t="inlineStr">
        <is>
          <t>Total Cost of Sales</t>
        </is>
      </c>
      <c r="B7" s="15">
        <f>'This Year'!B109</f>
        <v/>
      </c>
      <c r="C7" s="15">
        <f>'This Year'!C109</f>
        <v/>
      </c>
      <c r="D7" s="15">
        <f>'This Year'!D109</f>
        <v/>
      </c>
      <c r="E7" s="15">
        <f>'This Year'!E109</f>
        <v/>
      </c>
      <c r="F7" s="15">
        <f>'This Year'!F109</f>
        <v/>
      </c>
      <c r="G7" s="15">
        <f>'This Year'!G109</f>
        <v/>
      </c>
      <c r="H7" s="15">
        <f>'This Year'!H109</f>
        <v/>
      </c>
      <c r="I7" s="15">
        <f>'This Year'!I109</f>
        <v/>
      </c>
      <c r="J7" s="15">
        <f>'This Year'!J109</f>
        <v/>
      </c>
      <c r="K7" s="15">
        <f>'This Year'!K109</f>
        <v/>
      </c>
      <c r="L7" s="15">
        <f>'This Year'!L109</f>
        <v/>
      </c>
      <c r="M7" s="15">
        <f>'This Year'!M109</f>
        <v/>
      </c>
      <c r="N7" s="12">
        <f>'This Year'!N109</f>
        <v/>
      </c>
    </row>
    <row r="8">
      <c r="A8" s="11" t="inlineStr">
        <is>
          <t>Gross Profit</t>
        </is>
      </c>
      <c r="B8" s="15">
        <f>'This Year'!B111</f>
        <v/>
      </c>
      <c r="C8" s="15">
        <f>'This Year'!C111</f>
        <v/>
      </c>
      <c r="D8" s="15">
        <f>'This Year'!D111</f>
        <v/>
      </c>
      <c r="E8" s="15">
        <f>'This Year'!E111</f>
        <v/>
      </c>
      <c r="F8" s="15">
        <f>'This Year'!F111</f>
        <v/>
      </c>
      <c r="G8" s="15">
        <f>'This Year'!G111</f>
        <v/>
      </c>
      <c r="H8" s="15">
        <f>'This Year'!H111</f>
        <v/>
      </c>
      <c r="I8" s="15">
        <f>'This Year'!I111</f>
        <v/>
      </c>
      <c r="J8" s="15">
        <f>'This Year'!J111</f>
        <v/>
      </c>
      <c r="K8" s="15">
        <f>'This Year'!K111</f>
        <v/>
      </c>
      <c r="L8" s="15">
        <f>'This Year'!L111</f>
        <v/>
      </c>
      <c r="M8" s="15">
        <f>'This Year'!M111</f>
        <v/>
      </c>
      <c r="N8" s="12">
        <f>'This Year'!N111</f>
        <v/>
      </c>
    </row>
    <row r="9">
      <c r="A9" s="11" t="inlineStr">
        <is>
          <t>Gross Profit %</t>
        </is>
      </c>
      <c r="B9" s="16">
        <f>'This Year'!B112</f>
        <v/>
      </c>
      <c r="C9" s="16">
        <f>'This Year'!C112</f>
        <v/>
      </c>
      <c r="D9" s="16">
        <f>'This Year'!D112</f>
        <v/>
      </c>
      <c r="E9" s="16">
        <f>'This Year'!E112</f>
        <v/>
      </c>
      <c r="F9" s="16">
        <f>'This Year'!F112</f>
        <v/>
      </c>
      <c r="G9" s="16">
        <f>'This Year'!G112</f>
        <v/>
      </c>
      <c r="H9" s="16">
        <f>'This Year'!H112</f>
        <v/>
      </c>
      <c r="I9" s="16">
        <f>'This Year'!I112</f>
        <v/>
      </c>
      <c r="J9" s="16">
        <f>'This Year'!J112</f>
        <v/>
      </c>
      <c r="K9" s="16">
        <f>'This Year'!K112</f>
        <v/>
      </c>
      <c r="L9" s="16">
        <f>'This Year'!L112</f>
        <v/>
      </c>
      <c r="M9" s="16">
        <f>'This Year'!M112</f>
        <v/>
      </c>
      <c r="N9" s="13">
        <f>'This Year'!N112</f>
        <v/>
      </c>
    </row>
    <row r="10">
      <c r="A10" s="11" t="inlineStr">
        <is>
          <t>Total Other Income</t>
        </is>
      </c>
      <c r="B10" s="15">
        <f>'This Year'!B124</f>
        <v/>
      </c>
      <c r="C10" s="15">
        <f>'This Year'!C124</f>
        <v/>
      </c>
      <c r="D10" s="15">
        <f>'This Year'!D124</f>
        <v/>
      </c>
      <c r="E10" s="15">
        <f>'This Year'!E124</f>
        <v/>
      </c>
      <c r="F10" s="15">
        <f>'This Year'!F124</f>
        <v/>
      </c>
      <c r="G10" s="15">
        <f>'This Year'!G124</f>
        <v/>
      </c>
      <c r="H10" s="15">
        <f>'This Year'!H124</f>
        <v/>
      </c>
      <c r="I10" s="15">
        <f>'This Year'!I124</f>
        <v/>
      </c>
      <c r="J10" s="15">
        <f>'This Year'!J124</f>
        <v/>
      </c>
      <c r="K10" s="15">
        <f>'This Year'!K124</f>
        <v/>
      </c>
      <c r="L10" s="15">
        <f>'This Year'!L124</f>
        <v/>
      </c>
      <c r="M10" s="15">
        <f>'This Year'!M124</f>
        <v/>
      </c>
      <c r="N10" s="12">
        <f>'This Year'!N124</f>
        <v/>
      </c>
    </row>
    <row r="11">
      <c r="A11" s="11" t="inlineStr">
        <is>
          <t>Total Expenses</t>
        </is>
      </c>
      <c r="B11" s="15">
        <f>'This Year'!B207</f>
        <v/>
      </c>
      <c r="C11" s="15">
        <f>'This Year'!C207</f>
        <v/>
      </c>
      <c r="D11" s="15">
        <f>'This Year'!D207</f>
        <v/>
      </c>
      <c r="E11" s="15">
        <f>'This Year'!E207</f>
        <v/>
      </c>
      <c r="F11" s="15">
        <f>'This Year'!F207</f>
        <v/>
      </c>
      <c r="G11" s="15">
        <f>'This Year'!G207</f>
        <v/>
      </c>
      <c r="H11" s="15">
        <f>'This Year'!H207</f>
        <v/>
      </c>
      <c r="I11" s="15">
        <f>'This Year'!I207</f>
        <v/>
      </c>
      <c r="J11" s="15">
        <f>'This Year'!J207</f>
        <v/>
      </c>
      <c r="K11" s="15">
        <f>'This Year'!K207</f>
        <v/>
      </c>
      <c r="L11" s="15">
        <f>'This Year'!L207</f>
        <v/>
      </c>
      <c r="M11" s="15">
        <f>'This Year'!M207</f>
        <v/>
      </c>
      <c r="N11" s="12">
        <f>'This Year'!N207</f>
        <v/>
      </c>
    </row>
    <row r="12">
      <c r="A12" s="11" t="inlineStr">
        <is>
          <t>Net Profit</t>
        </is>
      </c>
      <c r="B12" s="15">
        <f>'This Year'!B209</f>
        <v/>
      </c>
      <c r="C12" s="15">
        <f>'This Year'!C209</f>
        <v/>
      </c>
      <c r="D12" s="15">
        <f>'This Year'!D209</f>
        <v/>
      </c>
      <c r="E12" s="15">
        <f>'This Year'!E209</f>
        <v/>
      </c>
      <c r="F12" s="15">
        <f>'This Year'!F209</f>
        <v/>
      </c>
      <c r="G12" s="15">
        <f>'This Year'!G209</f>
        <v/>
      </c>
      <c r="H12" s="15">
        <f>'This Year'!H209</f>
        <v/>
      </c>
      <c r="I12" s="15">
        <f>'This Year'!I209</f>
        <v/>
      </c>
      <c r="J12" s="15">
        <f>'This Year'!J209</f>
        <v/>
      </c>
      <c r="K12" s="15">
        <f>'This Year'!K209</f>
        <v/>
      </c>
      <c r="L12" s="15">
        <f>'This Year'!L209</f>
        <v/>
      </c>
      <c r="M12" s="15">
        <f>'This Year'!M209</f>
        <v/>
      </c>
      <c r="N12" s="12">
        <f>'This Year'!N209</f>
        <v/>
      </c>
    </row>
    <row r="13">
      <c r="A13" s="11" t="inlineStr">
        <is>
          <t>Net Profit %</t>
        </is>
      </c>
      <c r="B13" s="16">
        <f>'This Year'!B210</f>
        <v/>
      </c>
      <c r="C13" s="16">
        <f>'This Year'!C210</f>
        <v/>
      </c>
      <c r="D13" s="16">
        <f>'This Year'!D210</f>
        <v/>
      </c>
      <c r="E13" s="16">
        <f>'This Year'!E210</f>
        <v/>
      </c>
      <c r="F13" s="16">
        <f>'This Year'!F210</f>
        <v/>
      </c>
      <c r="G13" s="16">
        <f>'This Year'!G210</f>
        <v/>
      </c>
      <c r="H13" s="16">
        <f>'This Year'!H210</f>
        <v/>
      </c>
      <c r="I13" s="16">
        <f>'This Year'!I210</f>
        <v/>
      </c>
      <c r="J13" s="16">
        <f>'This Year'!J210</f>
        <v/>
      </c>
      <c r="K13" s="16">
        <f>'This Year'!K210</f>
        <v/>
      </c>
      <c r="L13" s="16">
        <f>'This Year'!L210</f>
        <v/>
      </c>
      <c r="M13" s="16">
        <f>'This Year'!M210</f>
        <v/>
      </c>
      <c r="N13" s="13">
        <f>'This Year'!N210</f>
        <v/>
      </c>
    </row>
    <row r="16">
      <c r="A16" s="14" t="inlineStr">
        <is>
          <t>QUARTERLY</t>
        </is>
      </c>
    </row>
    <row r="17" ht="28" customHeight="1">
      <c r="A17" s="3" t="inlineStr">
        <is>
          <t xml:space="preserve">  </t>
        </is>
      </c>
      <c r="B17" s="4" t="inlineStr">
        <is>
          <t>Q1 Jul-Sep</t>
        </is>
      </c>
      <c r="C17" s="4" t="inlineStr">
        <is>
          <t>Q2 Oct-Dec</t>
        </is>
      </c>
      <c r="D17" s="4" t="inlineStr">
        <is>
          <t>Q3 Jan-Mar</t>
        </is>
      </c>
      <c r="E17" s="4" t="inlineStr">
        <is>
          <t>Q4 Apr-Jun</t>
        </is>
      </c>
      <c r="F17" s="4" t="inlineStr">
        <is>
          <t>FY27 Total</t>
        </is>
      </c>
    </row>
    <row r="18">
      <c r="A18" s="11" t="inlineStr">
        <is>
          <t>Total Income</t>
        </is>
      </c>
      <c r="B18" s="15">
        <f>SUM(B6:D6)</f>
        <v/>
      </c>
      <c r="C18" s="15">
        <f>SUM(E6:G6)</f>
        <v/>
      </c>
      <c r="D18" s="15">
        <f>SUM(H6:J6)</f>
        <v/>
      </c>
      <c r="E18" s="15">
        <f>SUM(K6:M6)</f>
        <v/>
      </c>
      <c r="N18" s="12">
        <f>'This Year'!N40</f>
        <v/>
      </c>
    </row>
    <row r="19">
      <c r="A19" s="11" t="inlineStr">
        <is>
          <t>Total Cost of Sales</t>
        </is>
      </c>
      <c r="B19" s="15">
        <f>SUM(B7:D7)</f>
        <v/>
      </c>
      <c r="C19" s="15">
        <f>SUM(E7:G7)</f>
        <v/>
      </c>
      <c r="D19" s="15">
        <f>SUM(H7:J7)</f>
        <v/>
      </c>
      <c r="E19" s="15">
        <f>SUM(K7:M7)</f>
        <v/>
      </c>
      <c r="N19" s="12">
        <f>'This Year'!N109</f>
        <v/>
      </c>
    </row>
    <row r="20">
      <c r="A20" s="11" t="inlineStr">
        <is>
          <t>Gross Profit</t>
        </is>
      </c>
      <c r="B20" s="15">
        <f>SUM(B8:D8)</f>
        <v/>
      </c>
      <c r="C20" s="15">
        <f>SUM(E8:G8)</f>
        <v/>
      </c>
      <c r="D20" s="15">
        <f>SUM(H8:J8)</f>
        <v/>
      </c>
      <c r="E20" s="15">
        <f>SUM(K8:M8)</f>
        <v/>
      </c>
      <c r="N20" s="12">
        <f>'This Year'!N111</f>
        <v/>
      </c>
    </row>
    <row r="21">
      <c r="A21" s="11" t="inlineStr">
        <is>
          <t>Gross Profit %</t>
        </is>
      </c>
      <c r="B21" s="16">
        <f>IFERROR(SUM(B8:D8)/SUM(B6:D6),0)</f>
        <v/>
      </c>
      <c r="C21" s="16">
        <f>IFERROR(SUM(E8:G8)/SUM(E6:G6),0)</f>
        <v/>
      </c>
      <c r="D21" s="16">
        <f>IFERROR(SUM(H8:J8)/SUM(H6:J6),0)</f>
        <v/>
      </c>
      <c r="E21" s="16">
        <f>IFERROR(SUM(K8:M8)/SUM(K6:M6),0)</f>
        <v/>
      </c>
      <c r="N21" s="13">
        <f>'This Year'!N112</f>
        <v/>
      </c>
    </row>
    <row r="22">
      <c r="A22" s="11" t="inlineStr">
        <is>
          <t>Total Other Income</t>
        </is>
      </c>
      <c r="B22" s="15">
        <f>SUM(B10:D10)</f>
        <v/>
      </c>
      <c r="C22" s="15">
        <f>SUM(E10:G10)</f>
        <v/>
      </c>
      <c r="D22" s="15">
        <f>SUM(H10:J10)</f>
        <v/>
      </c>
      <c r="E22" s="15">
        <f>SUM(K10:M10)</f>
        <v/>
      </c>
      <c r="N22" s="12">
        <f>'This Year'!N124</f>
        <v/>
      </c>
    </row>
    <row r="23">
      <c r="A23" s="11" t="inlineStr">
        <is>
          <t>Total Expenses</t>
        </is>
      </c>
      <c r="B23" s="15">
        <f>SUM(B11:D11)</f>
        <v/>
      </c>
      <c r="C23" s="15">
        <f>SUM(E11:G11)</f>
        <v/>
      </c>
      <c r="D23" s="15">
        <f>SUM(H11:J11)</f>
        <v/>
      </c>
      <c r="E23" s="15">
        <f>SUM(K11:M11)</f>
        <v/>
      </c>
      <c r="N23" s="12">
        <f>'This Year'!N207</f>
        <v/>
      </c>
    </row>
    <row r="24">
      <c r="A24" s="11" t="inlineStr">
        <is>
          <t>Net Profit</t>
        </is>
      </c>
      <c r="B24" s="15">
        <f>SUM(B12:D12)</f>
        <v/>
      </c>
      <c r="C24" s="15">
        <f>SUM(E12:G12)</f>
        <v/>
      </c>
      <c r="D24" s="15">
        <f>SUM(H12:J12)</f>
        <v/>
      </c>
      <c r="E24" s="15">
        <f>SUM(K12:M12)</f>
        <v/>
      </c>
      <c r="N24" s="12">
        <f>'This Year'!N209</f>
        <v/>
      </c>
    </row>
    <row r="25">
      <c r="A25" s="11" t="inlineStr">
        <is>
          <t>Net Profit %</t>
        </is>
      </c>
      <c r="B25" s="16">
        <f>IFERROR(SUM(B12:D12)/SUM(B6:D6),0)</f>
        <v/>
      </c>
      <c r="C25" s="16">
        <f>IFERROR(SUM(E12:G12)/SUM(E6:G6),0)</f>
        <v/>
      </c>
      <c r="D25" s="16">
        <f>IFERROR(SUM(H12:J12)/SUM(H6:J6),0)</f>
        <v/>
      </c>
      <c r="E25" s="16">
        <f>IFERROR(SUM(K12:M12)/SUM(K6:M6),0)</f>
        <v/>
      </c>
      <c r="N25" s="13">
        <f>'This Year'!N210</f>
        <v/>
      </c>
    </row>
    <row r="28">
      <c r="A28" s="14" t="inlineStr">
        <is>
          <t>YEAR ON YEAR</t>
        </is>
      </c>
    </row>
    <row r="29" ht="28" customHeight="1">
      <c r="A29" s="3" t="inlineStr">
        <is>
          <t xml:space="preserve">  </t>
        </is>
      </c>
      <c r="B29" s="4" t="inlineStr">
        <is>
          <t>FY27</t>
        </is>
      </c>
      <c r="C29" s="4" t="inlineStr">
        <is>
          <t>FY26</t>
        </is>
      </c>
      <c r="D29" s="4" t="inlineStr">
        <is>
          <t>Variance $</t>
        </is>
      </c>
      <c r="E29" s="4" t="inlineStr">
        <is>
          <t>Variance %</t>
        </is>
      </c>
    </row>
    <row r="30">
      <c r="A30" s="11" t="inlineStr">
        <is>
          <t>Total Income</t>
        </is>
      </c>
      <c r="B30" s="15">
        <f>'This Year'!N40</f>
        <v/>
      </c>
      <c r="C30" s="15">
        <f>'Last Year'!N40</f>
        <v/>
      </c>
      <c r="D30" s="15">
        <f>B30-C30</f>
        <v/>
      </c>
      <c r="E30" s="16">
        <f>IFERROR(D30/ABS(C30),0)</f>
        <v/>
      </c>
    </row>
    <row r="31">
      <c r="A31" s="11" t="inlineStr">
        <is>
          <t>Total Cost of Sales</t>
        </is>
      </c>
      <c r="B31" s="15">
        <f>'This Year'!N109</f>
        <v/>
      </c>
      <c r="C31" s="15">
        <f>'Last Year'!N109</f>
        <v/>
      </c>
      <c r="D31" s="15">
        <f>B31-C31</f>
        <v/>
      </c>
      <c r="E31" s="16">
        <f>IFERROR(D31/ABS(C31),0)</f>
        <v/>
      </c>
    </row>
    <row r="32">
      <c r="A32" s="11" t="inlineStr">
        <is>
          <t>Gross Profit</t>
        </is>
      </c>
      <c r="B32" s="15">
        <f>'This Year'!N111</f>
        <v/>
      </c>
      <c r="C32" s="15">
        <f>'Last Year'!N111</f>
        <v/>
      </c>
      <c r="D32" s="15">
        <f>B32-C32</f>
        <v/>
      </c>
      <c r="E32" s="16">
        <f>IFERROR(D32/ABS(C32),0)</f>
        <v/>
      </c>
    </row>
    <row r="33">
      <c r="A33" s="11" t="inlineStr">
        <is>
          <t>Gross Profit %</t>
        </is>
      </c>
      <c r="B33" s="16">
        <f>'This Year'!N112</f>
        <v/>
      </c>
      <c r="C33" s="16">
        <f>'Last Year'!N112</f>
        <v/>
      </c>
      <c r="D33" s="16">
        <f>B33-C33</f>
        <v/>
      </c>
      <c r="E33" s="16" t="inlineStr"/>
    </row>
    <row r="34">
      <c r="A34" s="11" t="inlineStr">
        <is>
          <t>Total Other Income</t>
        </is>
      </c>
      <c r="B34" s="15">
        <f>'This Year'!N124</f>
        <v/>
      </c>
      <c r="C34" s="15">
        <f>'Last Year'!N124</f>
        <v/>
      </c>
      <c r="D34" s="15">
        <f>B34-C34</f>
        <v/>
      </c>
      <c r="E34" s="16">
        <f>IFERROR(D34/ABS(C34),0)</f>
        <v/>
      </c>
    </row>
    <row r="35">
      <c r="A35" s="11" t="inlineStr">
        <is>
          <t>Total Expenses</t>
        </is>
      </c>
      <c r="B35" s="15">
        <f>'This Year'!N207</f>
        <v/>
      </c>
      <c r="C35" s="15">
        <f>'Last Year'!N207</f>
        <v/>
      </c>
      <c r="D35" s="15">
        <f>B35-C35</f>
        <v/>
      </c>
      <c r="E35" s="16">
        <f>IFERROR(D35/ABS(C35),0)</f>
        <v/>
      </c>
    </row>
    <row r="36">
      <c r="A36" s="11" t="inlineStr">
        <is>
          <t>Net Profit</t>
        </is>
      </c>
      <c r="B36" s="15">
        <f>'This Year'!N209</f>
        <v/>
      </c>
      <c r="C36" s="15">
        <f>'Last Year'!N209</f>
        <v/>
      </c>
      <c r="D36" s="15">
        <f>B36-C36</f>
        <v/>
      </c>
      <c r="E36" s="16">
        <f>IFERROR(D36/ABS(C36),0)</f>
        <v/>
      </c>
    </row>
    <row r="37">
      <c r="A37" s="11" t="inlineStr">
        <is>
          <t>Net Profit %</t>
        </is>
      </c>
      <c r="B37" s="16">
        <f>'This Year'!N210</f>
        <v/>
      </c>
      <c r="C37" s="16">
        <f>'Last Year'!N210</f>
        <v/>
      </c>
      <c r="D37" s="16">
        <f>B37-C37</f>
        <v/>
      </c>
      <c r="E37" s="16" t="inlineStr"/>
    </row>
    <row r="40">
      <c r="A40" s="14" t="inlineStr">
        <is>
          <t>RECONCILIATION CHECK</t>
        </is>
      </c>
    </row>
    <row r="41" ht="30" customHeight="1">
      <c r="A41" s="17" t="inlineStr">
        <is>
          <t>FY26 figures pulled directly from Xero on 3 September 2026. Once you have pasted FY26 into Actuals, the difference column should read zero. Anything else means the paste is incomplete or misaligned.</t>
        </is>
      </c>
    </row>
    <row r="42" ht="28" customHeight="1">
      <c r="A42" s="3" t="inlineStr">
        <is>
          <t xml:space="preserve">  </t>
        </is>
      </c>
      <c r="B42" s="4" t="inlineStr">
        <is>
          <t>Workbook FY26</t>
        </is>
      </c>
      <c r="C42" s="4" t="inlineStr">
        <is>
          <t>Xero FY26</t>
        </is>
      </c>
      <c r="D42" s="4" t="inlineStr">
        <is>
          <t>Difference</t>
        </is>
      </c>
      <c r="E42" s="4" t="inlineStr"/>
    </row>
    <row r="43">
      <c r="A43" s="11" t="inlineStr">
        <is>
          <t>Total Income</t>
        </is>
      </c>
      <c r="B43" s="15">
        <f>'Last Year'!N40</f>
        <v/>
      </c>
      <c r="C43" s="18" t="n">
        <v>6113186.03</v>
      </c>
      <c r="D43" s="19">
        <f>ROUND(B43-C43,2)</f>
        <v/>
      </c>
    </row>
    <row r="44">
      <c r="A44" s="11" t="inlineStr">
        <is>
          <t>Total Cost of Sales</t>
        </is>
      </c>
      <c r="B44" s="15">
        <f>'Last Year'!N109</f>
        <v/>
      </c>
      <c r="C44" s="18" t="n">
        <v>3497093.83</v>
      </c>
      <c r="D44" s="19">
        <f>ROUND(B44-C44,2)</f>
        <v/>
      </c>
    </row>
    <row r="45">
      <c r="A45" s="11" t="inlineStr">
        <is>
          <t>Gross Profit</t>
        </is>
      </c>
      <c r="B45" s="15">
        <f>'Last Year'!N111</f>
        <v/>
      </c>
      <c r="C45" s="18" t="n">
        <v>2616092.2</v>
      </c>
      <c r="D45" s="19">
        <f>ROUND(B45-C45,2)</f>
        <v/>
      </c>
    </row>
    <row r="46">
      <c r="A46" s="11" t="inlineStr">
        <is>
          <t>Total Other Income</t>
        </is>
      </c>
      <c r="B46" s="15">
        <f>'Last Year'!N124</f>
        <v/>
      </c>
      <c r="C46" s="18" t="n">
        <v>13413.68</v>
      </c>
      <c r="D46" s="19">
        <f>ROUND(B46-C46,2)</f>
        <v/>
      </c>
    </row>
    <row r="47">
      <c r="A47" s="11" t="inlineStr">
        <is>
          <t>Total Expenses</t>
        </is>
      </c>
      <c r="B47" s="15">
        <f>'Last Year'!N207</f>
        <v/>
      </c>
      <c r="C47" s="18" t="n">
        <v>2380879.16</v>
      </c>
      <c r="D47" s="19">
        <f>ROUND(B47-C47,2)</f>
        <v/>
      </c>
    </row>
    <row r="48">
      <c r="A48" s="11" t="inlineStr">
        <is>
          <t>Net Profit</t>
        </is>
      </c>
      <c r="B48" s="15">
        <f>'Last Year'!N209</f>
        <v/>
      </c>
      <c r="C48" s="18" t="n">
        <v>248626.72</v>
      </c>
      <c r="D48" s="19">
        <f>ROUND(B48-C48,2)</f>
        <v/>
      </c>
    </row>
  </sheetData>
  <mergeCells count="1">
    <mergeCell ref="A41:E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Actuals: paste your Xero export here</t>
        </is>
      </c>
    </row>
    <row r="2">
      <c r="A2" s="2" t="inlineStr">
        <is>
          <t>Yellow cells only. Paste each month's figures from your Xero P&amp;L export into the matching column. Nothing else on this sheet should be edited, and no other sheet should be typed into at all.</t>
        </is>
      </c>
    </row>
    <row r="3" ht="28" customHeight="1">
      <c r="A3" s="3" t="inlineStr">
        <is>
          <t>Account</t>
        </is>
      </c>
      <c r="B3" s="4" t="inlineStr">
        <is>
          <t>Group</t>
        </is>
      </c>
      <c r="C3" s="4" t="inlineStr">
        <is>
          <t>Division</t>
        </is>
      </c>
      <c r="D3" s="4" t="inlineStr">
        <is>
          <t>Jul-25</t>
        </is>
      </c>
      <c r="E3" s="4" t="inlineStr">
        <is>
          <t>Aug-25</t>
        </is>
      </c>
      <c r="F3" s="4" t="inlineStr">
        <is>
          <t>Sep-25</t>
        </is>
      </c>
      <c r="G3" s="4" t="inlineStr">
        <is>
          <t>Oct-25</t>
        </is>
      </c>
      <c r="H3" s="4" t="inlineStr">
        <is>
          <t>Nov-25</t>
        </is>
      </c>
      <c r="I3" s="4" t="inlineStr">
        <is>
          <t>Dec-25</t>
        </is>
      </c>
      <c r="J3" s="4" t="inlineStr">
        <is>
          <t>Jan-26</t>
        </is>
      </c>
      <c r="K3" s="4" t="inlineStr">
        <is>
          <t>Feb-26</t>
        </is>
      </c>
      <c r="L3" s="4" t="inlineStr">
        <is>
          <t>Mar-26</t>
        </is>
      </c>
      <c r="M3" s="4" t="inlineStr">
        <is>
          <t>Apr-26</t>
        </is>
      </c>
      <c r="N3" s="4" t="inlineStr">
        <is>
          <t>May-26</t>
        </is>
      </c>
      <c r="O3" s="4" t="inlineStr">
        <is>
          <t>Jun-26</t>
        </is>
      </c>
      <c r="P3" s="4" t="inlineStr">
        <is>
          <t>Jul-26</t>
        </is>
      </c>
      <c r="Q3" s="4" t="inlineStr">
        <is>
          <t>Aug-26</t>
        </is>
      </c>
      <c r="R3" s="4" t="inlineStr">
        <is>
          <t>Sep-26</t>
        </is>
      </c>
      <c r="S3" s="4" t="inlineStr">
        <is>
          <t>Oct-26</t>
        </is>
      </c>
      <c r="T3" s="4" t="inlineStr">
        <is>
          <t>Nov-26</t>
        </is>
      </c>
      <c r="U3" s="4" t="inlineStr">
        <is>
          <t>Dec-26</t>
        </is>
      </c>
      <c r="V3" s="4" t="inlineStr">
        <is>
          <t>Jan-27</t>
        </is>
      </c>
      <c r="W3" s="4" t="inlineStr">
        <is>
          <t>Feb-27</t>
        </is>
      </c>
      <c r="X3" s="4" t="inlineStr">
        <is>
          <t>Mar-27</t>
        </is>
      </c>
      <c r="Y3" s="4" t="inlineStr">
        <is>
          <t>Apr-27</t>
        </is>
      </c>
      <c r="Z3" s="4" t="inlineStr">
        <is>
          <t>May-27</t>
        </is>
      </c>
      <c r="AA3" s="4" t="inlineStr">
        <is>
          <t>Jun-27</t>
        </is>
      </c>
    </row>
    <row r="4">
      <c r="A4" s="5" t="inlineStr">
        <is>
          <t>Ad Hoc Service Labour</t>
        </is>
      </c>
      <c r="B4" s="2" t="inlineStr">
        <is>
          <t>Income</t>
        </is>
      </c>
      <c r="C4" s="2" t="inlineStr">
        <is>
          <t>Unallocated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5" t="inlineStr">
        <is>
          <t>Closing Work in Progress</t>
        </is>
      </c>
      <c r="B5" s="2" t="inlineStr">
        <is>
          <t>Income</t>
        </is>
      </c>
      <c r="C5" s="2" t="inlineStr">
        <is>
          <t>Unallocated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5" t="inlineStr">
        <is>
          <t>Conference Call Charge</t>
        </is>
      </c>
      <c r="B6" s="2" t="inlineStr">
        <is>
          <t>Income</t>
        </is>
      </c>
      <c r="C6" s="2" t="inlineStr">
        <is>
          <t>Unallocated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5" t="inlineStr">
        <is>
          <t>Contract Help Desk</t>
        </is>
      </c>
      <c r="B7" s="2" t="inlineStr">
        <is>
          <t>Income</t>
        </is>
      </c>
      <c r="C7" s="2" t="inlineStr">
        <is>
          <t>Unallocated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5" t="inlineStr">
        <is>
          <t>Contract Maintenance</t>
        </is>
      </c>
      <c r="B8" s="2" t="inlineStr">
        <is>
          <t>Income</t>
        </is>
      </c>
      <c r="C8" s="2" t="inlineStr">
        <is>
          <t>Unallocated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5" t="inlineStr">
        <is>
          <t>Contract Support Staff</t>
        </is>
      </c>
      <c r="B9" s="2" t="inlineStr">
        <is>
          <t>Income</t>
        </is>
      </c>
      <c r="C9" s="2" t="inlineStr">
        <is>
          <t>Unallocated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5" t="inlineStr">
        <is>
          <t>Credit Card Collected - CONS</t>
        </is>
      </c>
      <c r="B10" s="2" t="inlineStr">
        <is>
          <t>Income</t>
        </is>
      </c>
      <c r="C10" s="2" t="inlineStr">
        <is>
          <t>Consulting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5" t="inlineStr">
        <is>
          <t>Credit Card Collected - ONS</t>
        </is>
      </c>
      <c r="B11" s="2" t="inlineStr">
        <is>
          <t>Income</t>
        </is>
      </c>
      <c r="C11" s="2" t="inlineStr">
        <is>
          <t>Onsite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5" t="inlineStr">
        <is>
          <t>Credit Card Collected - PRD</t>
        </is>
      </c>
      <c r="B12" s="2" t="inlineStr">
        <is>
          <t>Income</t>
        </is>
      </c>
      <c r="C12" s="2" t="inlineStr">
        <is>
          <t>Production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5" t="inlineStr">
        <is>
          <t>Credit Card Collected - VID</t>
        </is>
      </c>
      <c r="B13" s="2" t="inlineStr">
        <is>
          <t>Income</t>
        </is>
      </c>
      <c r="C13" s="2" t="inlineStr">
        <is>
          <t>Video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5" t="inlineStr">
        <is>
          <t>Credit Card Collected-INTEGRATION</t>
        </is>
      </c>
      <c r="B14" s="2" t="inlineStr">
        <is>
          <t>Income</t>
        </is>
      </c>
      <c r="C14" s="2" t="inlineStr">
        <is>
          <t>Integration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5" t="inlineStr">
        <is>
          <t>Credit Card Fees - ADMIN</t>
        </is>
      </c>
      <c r="B15" s="2" t="inlineStr">
        <is>
          <t>Income</t>
        </is>
      </c>
      <c r="C15" s="2" t="inlineStr">
        <is>
          <t>Admin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5" t="inlineStr">
        <is>
          <t>Equipment Hires</t>
        </is>
      </c>
      <c r="B16" s="2" t="inlineStr">
        <is>
          <t>Income</t>
        </is>
      </c>
      <c r="C16" s="2" t="inlineStr">
        <is>
          <t>Unallocated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5" t="inlineStr">
        <is>
          <t>Equipment Sales</t>
        </is>
      </c>
      <c r="B17" s="2" t="inlineStr">
        <is>
          <t>Income</t>
        </is>
      </c>
      <c r="C17" s="2" t="inlineStr">
        <is>
          <t>Unallocated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5" t="inlineStr">
        <is>
          <t>Freight &amp; Travel - ADMIN</t>
        </is>
      </c>
      <c r="B18" s="2" t="inlineStr">
        <is>
          <t>Income</t>
        </is>
      </c>
      <c r="C18" s="2" t="inlineStr">
        <is>
          <t>Admin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5" t="inlineStr">
        <is>
          <t>Freight &amp; Travel - CONS</t>
        </is>
      </c>
      <c r="B19" s="2" t="inlineStr">
        <is>
          <t>Income</t>
        </is>
      </c>
      <c r="C19" s="2" t="inlineStr">
        <is>
          <t>Consulting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5" t="inlineStr">
        <is>
          <t>Freight &amp; Travel - INTEGRATION</t>
        </is>
      </c>
      <c r="B20" s="2" t="inlineStr">
        <is>
          <t>Income</t>
        </is>
      </c>
      <c r="C20" s="2" t="inlineStr">
        <is>
          <t>Integration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5" t="inlineStr">
        <is>
          <t>Freight &amp; Travel - ONS</t>
        </is>
      </c>
      <c r="B21" s="2" t="inlineStr">
        <is>
          <t>Income</t>
        </is>
      </c>
      <c r="C21" s="2" t="inlineStr">
        <is>
          <t>Onsite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5" t="inlineStr">
        <is>
          <t>Freight &amp; Travel - PRD</t>
        </is>
      </c>
      <c r="B22" s="2" t="inlineStr">
        <is>
          <t>Income</t>
        </is>
      </c>
      <c r="C22" s="2" t="inlineStr">
        <is>
          <t>Production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5" t="inlineStr">
        <is>
          <t>Freight &amp; Travel - VID</t>
        </is>
      </c>
      <c r="B23" s="2" t="inlineStr">
        <is>
          <t>Income</t>
        </is>
      </c>
      <c r="C23" s="2" t="inlineStr">
        <is>
          <t>Video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5" t="inlineStr">
        <is>
          <t>Installation Labour</t>
        </is>
      </c>
      <c r="B24" s="2" t="inlineStr">
        <is>
          <t>Income</t>
        </is>
      </c>
      <c r="C24" s="2" t="inlineStr">
        <is>
          <t>Unallocated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5" t="inlineStr">
        <is>
          <t>Meal &amp; Travel - ADMIN</t>
        </is>
      </c>
      <c r="B25" s="2" t="inlineStr">
        <is>
          <t>Income</t>
        </is>
      </c>
      <c r="C25" s="2" t="inlineStr">
        <is>
          <t>Admin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5" t="inlineStr">
        <is>
          <t>Meal &amp; Travel - CONS</t>
        </is>
      </c>
      <c r="B26" s="2" t="inlineStr">
        <is>
          <t>Income</t>
        </is>
      </c>
      <c r="C26" s="2" t="inlineStr">
        <is>
          <t>Consulting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5" t="inlineStr">
        <is>
          <t>Meal &amp; Travel - INTEGRATION</t>
        </is>
      </c>
      <c r="B27" s="2" t="inlineStr">
        <is>
          <t>Income</t>
        </is>
      </c>
      <c r="C27" s="2" t="inlineStr">
        <is>
          <t>Integration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5" t="inlineStr">
        <is>
          <t>Meal &amp; Travel - ONS</t>
        </is>
      </c>
      <c r="B28" s="2" t="inlineStr">
        <is>
          <t>Income</t>
        </is>
      </c>
      <c r="C28" s="2" t="inlineStr">
        <is>
          <t>Onsite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5" t="inlineStr">
        <is>
          <t>Meal &amp; Travel - PRD</t>
        </is>
      </c>
      <c r="B29" s="2" t="inlineStr">
        <is>
          <t>Income</t>
        </is>
      </c>
      <c r="C29" s="2" t="inlineStr">
        <is>
          <t>Production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5" t="inlineStr">
        <is>
          <t>Meal &amp; Travel - VID</t>
        </is>
      </c>
      <c r="B30" s="2" t="inlineStr">
        <is>
          <t>Income</t>
        </is>
      </c>
      <c r="C30" s="2" t="inlineStr">
        <is>
          <t>Video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5" t="inlineStr">
        <is>
          <t>Miscellaneous Income</t>
        </is>
      </c>
      <c r="B31" s="2" t="inlineStr">
        <is>
          <t>Income</t>
        </is>
      </c>
      <c r="C31" s="2" t="inlineStr">
        <is>
          <t>Unallocated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5" t="inlineStr">
        <is>
          <t>Mobile Phone Plans</t>
        </is>
      </c>
      <c r="B32" s="2" t="inlineStr">
        <is>
          <t>Income</t>
        </is>
      </c>
      <c r="C32" s="2" t="inlineStr">
        <is>
          <t>Unallocated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5" t="inlineStr">
        <is>
          <t>Opening Work in Progress</t>
        </is>
      </c>
      <c r="B33" s="2" t="inlineStr">
        <is>
          <t>Income</t>
        </is>
      </c>
      <c r="C33" s="2" t="inlineStr">
        <is>
          <t>Unallocated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5" t="inlineStr">
        <is>
          <t>Production Labour</t>
        </is>
      </c>
      <c r="B34" s="2" t="inlineStr">
        <is>
          <t>Income</t>
        </is>
      </c>
      <c r="C34" s="2" t="inlineStr">
        <is>
          <t>Unallocated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5" t="inlineStr">
        <is>
          <t>Subscriptions &amp; Licences - Income</t>
        </is>
      </c>
      <c r="B35" s="2" t="inlineStr">
        <is>
          <t>Income</t>
        </is>
      </c>
      <c r="C35" s="2" t="inlineStr">
        <is>
          <t>Unallocated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5" t="inlineStr">
        <is>
          <t>Tech Consulting/Project Manage</t>
        </is>
      </c>
      <c r="B36" s="2" t="inlineStr">
        <is>
          <t>Income</t>
        </is>
      </c>
      <c r="C36" s="2" t="inlineStr">
        <is>
          <t>Unallocated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5" t="inlineStr">
        <is>
          <t>Tech Event Management</t>
        </is>
      </c>
      <c r="B37" s="2" t="inlineStr">
        <is>
          <t>Income</t>
        </is>
      </c>
      <c r="C37" s="2" t="inlineStr">
        <is>
          <t>Unallocated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5" t="inlineStr">
        <is>
          <t>Video Labour</t>
        </is>
      </c>
      <c r="B38" s="2" t="inlineStr">
        <is>
          <t>Income</t>
        </is>
      </c>
      <c r="C38" s="2" t="inlineStr">
        <is>
          <t>Unallocated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5" t="inlineStr">
        <is>
          <t>Credit Card Paid - ADMIN</t>
        </is>
      </c>
      <c r="B39" s="2" t="inlineStr">
        <is>
          <t>Cost of Sales</t>
        </is>
      </c>
      <c r="C39" s="2" t="inlineStr">
        <is>
          <t>Admin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5" t="inlineStr">
        <is>
          <t>Credit Card Paid - CONS</t>
        </is>
      </c>
      <c r="B40" s="2" t="inlineStr">
        <is>
          <t>Cost of Sales</t>
        </is>
      </c>
      <c r="C40" s="2" t="inlineStr">
        <is>
          <t>Consulting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5" t="inlineStr">
        <is>
          <t>Credit Card Paid - INTEGRATION</t>
        </is>
      </c>
      <c r="B41" s="2" t="inlineStr">
        <is>
          <t>Cost of Sales</t>
        </is>
      </c>
      <c r="C41" s="2" t="inlineStr">
        <is>
          <t>Integration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5" t="inlineStr">
        <is>
          <t>Credit Card Paid - ONS</t>
        </is>
      </c>
      <c r="B42" s="2" t="inlineStr">
        <is>
          <t>Cost of Sales</t>
        </is>
      </c>
      <c r="C42" s="2" t="inlineStr">
        <is>
          <t>Onsite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5" t="inlineStr">
        <is>
          <t>Credit Card Paid - PRD</t>
        </is>
      </c>
      <c r="B43" s="2" t="inlineStr">
        <is>
          <t>Cost of Sales</t>
        </is>
      </c>
      <c r="C43" s="2" t="inlineStr">
        <is>
          <t>Production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5" t="inlineStr">
        <is>
          <t>Credit Card Paid - VID</t>
        </is>
      </c>
      <c r="B44" s="2" t="inlineStr">
        <is>
          <t>Cost of Sales</t>
        </is>
      </c>
      <c r="C44" s="2" t="inlineStr">
        <is>
          <t>Video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5" t="inlineStr">
        <is>
          <t>Damage Waiver</t>
        </is>
      </c>
      <c r="B45" s="2" t="inlineStr">
        <is>
          <t>Cost of Sales</t>
        </is>
      </c>
      <c r="C45" s="2" t="inlineStr">
        <is>
          <t>Unallocated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5" t="inlineStr">
        <is>
          <t>Direct Freight - ADMIN</t>
        </is>
      </c>
      <c r="B46" s="2" t="inlineStr">
        <is>
          <t>Cost of Sales</t>
        </is>
      </c>
      <c r="C46" s="2" t="inlineStr">
        <is>
          <t>Admin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5" t="inlineStr">
        <is>
          <t>Direct Freight - CONS</t>
        </is>
      </c>
      <c r="B47" s="2" t="inlineStr">
        <is>
          <t>Cost of Sales</t>
        </is>
      </c>
      <c r="C47" s="2" t="inlineStr">
        <is>
          <t>Consulting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5" t="inlineStr">
        <is>
          <t>Direct Freight - INTEGRATION</t>
        </is>
      </c>
      <c r="B48" s="2" t="inlineStr">
        <is>
          <t>Cost of Sales</t>
        </is>
      </c>
      <c r="C48" s="2" t="inlineStr">
        <is>
          <t>Integration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5" t="inlineStr">
        <is>
          <t>Direct Freight - ONS</t>
        </is>
      </c>
      <c r="B49" s="2" t="inlineStr">
        <is>
          <t>Cost of Sales</t>
        </is>
      </c>
      <c r="C49" s="2" t="inlineStr">
        <is>
          <t>Onsite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5" t="inlineStr">
        <is>
          <t>Direct Freight - PRD</t>
        </is>
      </c>
      <c r="B50" s="2" t="inlineStr">
        <is>
          <t>Cost of Sales</t>
        </is>
      </c>
      <c r="C50" s="2" t="inlineStr">
        <is>
          <t>Production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5" t="inlineStr">
        <is>
          <t>Direct Freight - VID</t>
        </is>
      </c>
      <c r="B51" s="2" t="inlineStr">
        <is>
          <t>Cost of Sales</t>
        </is>
      </c>
      <c r="C51" s="2" t="inlineStr">
        <is>
          <t>Video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5" t="inlineStr">
        <is>
          <t>Direct Mobile - CONS</t>
        </is>
      </c>
      <c r="B52" s="2" t="inlineStr">
        <is>
          <t>Cost of Sales</t>
        </is>
      </c>
      <c r="C52" s="2" t="inlineStr">
        <is>
          <t>Consulting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5" t="inlineStr">
        <is>
          <t>Direct Mobile - INTEGRATION</t>
        </is>
      </c>
      <c r="B53" s="2" t="inlineStr">
        <is>
          <t>Cost of Sales</t>
        </is>
      </c>
      <c r="C53" s="2" t="inlineStr">
        <is>
          <t>Integration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5" t="inlineStr">
        <is>
          <t>Direct Mobile - ONS</t>
        </is>
      </c>
      <c r="B54" s="2" t="inlineStr">
        <is>
          <t>Cost of Sales</t>
        </is>
      </c>
      <c r="C54" s="2" t="inlineStr">
        <is>
          <t>Onsite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5" t="inlineStr">
        <is>
          <t>Direct Mobile - PRD</t>
        </is>
      </c>
      <c r="B55" s="2" t="inlineStr">
        <is>
          <t>Cost of Sales</t>
        </is>
      </c>
      <c r="C55" s="2" t="inlineStr">
        <is>
          <t>Production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5" t="inlineStr">
        <is>
          <t>Direct Mobile - VID</t>
        </is>
      </c>
      <c r="B56" s="2" t="inlineStr">
        <is>
          <t>Cost of Sales</t>
        </is>
      </c>
      <c r="C56" s="2" t="inlineStr">
        <is>
          <t>Video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5" t="inlineStr">
        <is>
          <t>Direct Salaries - ADMIN</t>
        </is>
      </c>
      <c r="B57" s="2" t="inlineStr">
        <is>
          <t>Cost of Sales</t>
        </is>
      </c>
      <c r="C57" s="2" t="inlineStr">
        <is>
          <t>Admin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5" t="inlineStr">
        <is>
          <t>Direct Salaries - CONS</t>
        </is>
      </c>
      <c r="B58" s="2" t="inlineStr">
        <is>
          <t>Cost of Sales</t>
        </is>
      </c>
      <c r="C58" s="2" t="inlineStr">
        <is>
          <t>Consulting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5" t="inlineStr">
        <is>
          <t>Direct Salaries - INTEGRATION</t>
        </is>
      </c>
      <c r="B59" s="2" t="inlineStr">
        <is>
          <t>Cost of Sales</t>
        </is>
      </c>
      <c r="C59" s="2" t="inlineStr">
        <is>
          <t>Integration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5" t="inlineStr">
        <is>
          <t>Direct Salaries - ONS</t>
        </is>
      </c>
      <c r="B60" s="2" t="inlineStr">
        <is>
          <t>Cost of Sales</t>
        </is>
      </c>
      <c r="C60" s="2" t="inlineStr">
        <is>
          <t>Onsite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5" t="inlineStr">
        <is>
          <t>Direct Salaries - PRD</t>
        </is>
      </c>
      <c r="B61" s="2" t="inlineStr">
        <is>
          <t>Cost of Sales</t>
        </is>
      </c>
      <c r="C61" s="2" t="inlineStr">
        <is>
          <t>Production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5" t="inlineStr">
        <is>
          <t>Direct Salaries - VID</t>
        </is>
      </c>
      <c r="B62" s="2" t="inlineStr">
        <is>
          <t>Cost of Sales</t>
        </is>
      </c>
      <c r="C62" s="2" t="inlineStr">
        <is>
          <t>Video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5" t="inlineStr">
        <is>
          <t>Direct Superannuation - ADMIN</t>
        </is>
      </c>
      <c r="B63" s="2" t="inlineStr">
        <is>
          <t>Cost of Sales</t>
        </is>
      </c>
      <c r="C63" s="2" t="inlineStr">
        <is>
          <t>Admin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5" t="inlineStr">
        <is>
          <t>Direct Superannuation - CONS</t>
        </is>
      </c>
      <c r="B64" s="2" t="inlineStr">
        <is>
          <t>Cost of Sales</t>
        </is>
      </c>
      <c r="C64" s="2" t="inlineStr">
        <is>
          <t>Consulting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5" t="inlineStr">
        <is>
          <t>Direct Superannuation - ONS</t>
        </is>
      </c>
      <c r="B65" s="2" t="inlineStr">
        <is>
          <t>Cost of Sales</t>
        </is>
      </c>
      <c r="C65" s="2" t="inlineStr">
        <is>
          <t>Onsite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5" t="inlineStr">
        <is>
          <t>Direct Superannuation - PRD</t>
        </is>
      </c>
      <c r="B66" s="2" t="inlineStr">
        <is>
          <t>Cost of Sales</t>
        </is>
      </c>
      <c r="C66" s="2" t="inlineStr">
        <is>
          <t>Production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5" t="inlineStr">
        <is>
          <t>Direct Superannuation - VID</t>
        </is>
      </c>
      <c r="B67" s="2" t="inlineStr">
        <is>
          <t>Cost of Sales</t>
        </is>
      </c>
      <c r="C67" s="2" t="inlineStr">
        <is>
          <t>Video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5" t="inlineStr">
        <is>
          <t>Direct Superannuation-INTEGRATION</t>
        </is>
      </c>
      <c r="B68" s="2" t="inlineStr">
        <is>
          <t>Cost of Sales</t>
        </is>
      </c>
      <c r="C68" s="2" t="inlineStr">
        <is>
          <t>Integration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5" t="inlineStr">
        <is>
          <t>Direct Travel - ADMIN</t>
        </is>
      </c>
      <c r="B69" s="2" t="inlineStr">
        <is>
          <t>Cost of Sales</t>
        </is>
      </c>
      <c r="C69" s="2" t="inlineStr">
        <is>
          <t>Admin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5" t="inlineStr">
        <is>
          <t>Direct Travel - CONS</t>
        </is>
      </c>
      <c r="B70" s="2" t="inlineStr">
        <is>
          <t>Cost of Sales</t>
        </is>
      </c>
      <c r="C70" s="2" t="inlineStr">
        <is>
          <t>Consulting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5" t="inlineStr">
        <is>
          <t>Direct Travel - INTEGRATION</t>
        </is>
      </c>
      <c r="B71" s="2" t="inlineStr">
        <is>
          <t>Cost of Sales</t>
        </is>
      </c>
      <c r="C71" s="2" t="inlineStr">
        <is>
          <t>Integration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5" t="inlineStr">
        <is>
          <t>Direct Travel - ONS</t>
        </is>
      </c>
      <c r="B72" s="2" t="inlineStr">
        <is>
          <t>Cost of Sales</t>
        </is>
      </c>
      <c r="C72" s="2" t="inlineStr">
        <is>
          <t>Onsite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5" t="inlineStr">
        <is>
          <t>Direct Travel - PRD</t>
        </is>
      </c>
      <c r="B73" s="2" t="inlineStr">
        <is>
          <t>Cost of Sales</t>
        </is>
      </c>
      <c r="C73" s="2" t="inlineStr">
        <is>
          <t>Production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5" t="inlineStr">
        <is>
          <t>Direct Travel - VID</t>
        </is>
      </c>
      <c r="B74" s="2" t="inlineStr">
        <is>
          <t>Cost of Sales</t>
        </is>
      </c>
      <c r="C74" s="2" t="inlineStr">
        <is>
          <t>Video</t>
        </is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5" t="inlineStr">
        <is>
          <t>Direct Wages - CONS</t>
        </is>
      </c>
      <c r="B75" s="2" t="inlineStr">
        <is>
          <t>Cost of Sales</t>
        </is>
      </c>
      <c r="C75" s="2" t="inlineStr">
        <is>
          <t>Consulting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5" t="inlineStr">
        <is>
          <t>Direct Wages - INTEGRATION</t>
        </is>
      </c>
      <c r="B76" s="2" t="inlineStr">
        <is>
          <t>Cost of Sales</t>
        </is>
      </c>
      <c r="C76" s="2" t="inlineStr">
        <is>
          <t>Integration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5" t="inlineStr">
        <is>
          <t>Direct Wages - ONS</t>
        </is>
      </c>
      <c r="B77" s="2" t="inlineStr">
        <is>
          <t>Cost of Sales</t>
        </is>
      </c>
      <c r="C77" s="2" t="inlineStr">
        <is>
          <t>Onsite</t>
        </is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5" t="inlineStr">
        <is>
          <t>Direct Wages - PRD</t>
        </is>
      </c>
      <c r="B78" s="2" t="inlineStr">
        <is>
          <t>Cost of Sales</t>
        </is>
      </c>
      <c r="C78" s="2" t="inlineStr">
        <is>
          <t>Production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5" t="inlineStr">
        <is>
          <t>Direct Wages - VID</t>
        </is>
      </c>
      <c r="B79" s="2" t="inlineStr">
        <is>
          <t>Cost of Sales</t>
        </is>
      </c>
      <c r="C79" s="2" t="inlineStr">
        <is>
          <t>Video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5" t="inlineStr">
        <is>
          <t>Direct Workers Comp - ADMIN</t>
        </is>
      </c>
      <c r="B80" s="2" t="inlineStr">
        <is>
          <t>Cost of Sales</t>
        </is>
      </c>
      <c r="C80" s="2" t="inlineStr">
        <is>
          <t>Admin</t>
        </is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5" t="inlineStr">
        <is>
          <t>Direct Workers Comp - CONS</t>
        </is>
      </c>
      <c r="B81" s="2" t="inlineStr">
        <is>
          <t>Cost of Sales</t>
        </is>
      </c>
      <c r="C81" s="2" t="inlineStr">
        <is>
          <t>Consulting</t>
        </is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5" t="inlineStr">
        <is>
          <t>Direct Workers Comp - INTEGRATION</t>
        </is>
      </c>
      <c r="B82" s="2" t="inlineStr">
        <is>
          <t>Cost of Sales</t>
        </is>
      </c>
      <c r="C82" s="2" t="inlineStr">
        <is>
          <t>Integration</t>
        </is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5" t="inlineStr">
        <is>
          <t>Direct Workers Comp - ONS</t>
        </is>
      </c>
      <c r="B83" s="2" t="inlineStr">
        <is>
          <t>Cost of Sales</t>
        </is>
      </c>
      <c r="C83" s="2" t="inlineStr">
        <is>
          <t>Onsite</t>
        </is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5" t="inlineStr">
        <is>
          <t>Direct Workers Comp - PRD</t>
        </is>
      </c>
      <c r="B84" s="2" t="inlineStr">
        <is>
          <t>Cost of Sales</t>
        </is>
      </c>
      <c r="C84" s="2" t="inlineStr">
        <is>
          <t>Production</t>
        </is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5" t="inlineStr">
        <is>
          <t>Direct Workers Comp - VID</t>
        </is>
      </c>
      <c r="B85" s="2" t="inlineStr">
        <is>
          <t>Cost of Sales</t>
        </is>
      </c>
      <c r="C85" s="2" t="inlineStr">
        <is>
          <t>Video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5" t="inlineStr">
        <is>
          <t>Discounts Given</t>
        </is>
      </c>
      <c r="B86" s="2" t="inlineStr">
        <is>
          <t>Cost of Sales</t>
        </is>
      </c>
      <c r="C86" s="2" t="inlineStr">
        <is>
          <t>Unallocated</t>
        </is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5" t="inlineStr">
        <is>
          <t>Equipment - Hires</t>
        </is>
      </c>
      <c r="B87" s="2" t="inlineStr">
        <is>
          <t>Cost of Sales</t>
        </is>
      </c>
      <c r="C87" s="2" t="inlineStr">
        <is>
          <t>Unallocated</t>
        </is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5" t="inlineStr">
        <is>
          <t>Equipment - Purchase</t>
        </is>
      </c>
      <c r="B88" s="2" t="inlineStr">
        <is>
          <t>Cost of Sales</t>
        </is>
      </c>
      <c r="C88" s="2" t="inlineStr">
        <is>
          <t>Unallocated</t>
        </is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5" t="inlineStr">
        <is>
          <t>Equipment -Maintenance Support</t>
        </is>
      </c>
      <c r="B89" s="2" t="inlineStr">
        <is>
          <t>Cost of Sales</t>
        </is>
      </c>
      <c r="C89" s="2" t="inlineStr">
        <is>
          <t>Unallocated</t>
        </is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5" t="inlineStr">
        <is>
          <t>Service - hires</t>
        </is>
      </c>
      <c r="B90" s="2" t="inlineStr">
        <is>
          <t>Cost of Sales</t>
        </is>
      </c>
      <c r="C90" s="2" t="inlineStr">
        <is>
          <t>Unallocated</t>
        </is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5" t="inlineStr">
        <is>
          <t>Stamp Duty</t>
        </is>
      </c>
      <c r="B91" s="2" t="inlineStr">
        <is>
          <t>Cost of Sales</t>
        </is>
      </c>
      <c r="C91" s="2" t="inlineStr">
        <is>
          <t>Unallocated</t>
        </is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5" t="inlineStr">
        <is>
          <t>Sub-Contract Labour - ADMIN</t>
        </is>
      </c>
      <c r="B92" s="2" t="inlineStr">
        <is>
          <t>Cost of Sales</t>
        </is>
      </c>
      <c r="C92" s="2" t="inlineStr">
        <is>
          <t>Admin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5" t="inlineStr">
        <is>
          <t>Sub-Contract Labour - CONS</t>
        </is>
      </c>
      <c r="B93" s="2" t="inlineStr">
        <is>
          <t>Cost of Sales</t>
        </is>
      </c>
      <c r="C93" s="2" t="inlineStr">
        <is>
          <t>Consulting</t>
        </is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5" t="inlineStr">
        <is>
          <t>Sub-Contract Labour - INTEGRATION</t>
        </is>
      </c>
      <c r="B94" s="2" t="inlineStr">
        <is>
          <t>Cost of Sales</t>
        </is>
      </c>
      <c r="C94" s="2" t="inlineStr">
        <is>
          <t>Integration</t>
        </is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5" t="inlineStr">
        <is>
          <t>Sub-Contract Labour - ONS</t>
        </is>
      </c>
      <c r="B95" s="2" t="inlineStr">
        <is>
          <t>Cost of Sales</t>
        </is>
      </c>
      <c r="C95" s="2" t="inlineStr">
        <is>
          <t>Onsite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5" t="inlineStr">
        <is>
          <t>Sub-Contract Labour - PRD</t>
        </is>
      </c>
      <c r="B96" s="2" t="inlineStr">
        <is>
          <t>Cost of Sales</t>
        </is>
      </c>
      <c r="C96" s="2" t="inlineStr">
        <is>
          <t>Production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5" t="inlineStr">
        <is>
          <t>Sub-Contract Labour - VID</t>
        </is>
      </c>
      <c r="B97" s="2" t="inlineStr">
        <is>
          <t>Cost of Sales</t>
        </is>
      </c>
      <c r="C97" s="2" t="inlineStr">
        <is>
          <t>Video</t>
        </is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5" t="inlineStr">
        <is>
          <t>Subscriptions &amp; Licences - Expense</t>
        </is>
      </c>
      <c r="B98" s="2" t="inlineStr">
        <is>
          <t>Cost of Sales</t>
        </is>
      </c>
      <c r="C98" s="2" t="inlineStr">
        <is>
          <t>Unallocated</t>
        </is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5" t="inlineStr">
        <is>
          <t>Supplier Per Diems - ADMIN</t>
        </is>
      </c>
      <c r="B99" s="2" t="inlineStr">
        <is>
          <t>Cost of Sales</t>
        </is>
      </c>
      <c r="C99" s="2" t="inlineStr">
        <is>
          <t>Admin</t>
        </is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5" t="inlineStr">
        <is>
          <t>Supplier Per Diems - CONS</t>
        </is>
      </c>
      <c r="B100" s="2" t="inlineStr">
        <is>
          <t>Cost of Sales</t>
        </is>
      </c>
      <c r="C100" s="2" t="inlineStr">
        <is>
          <t>Consulting</t>
        </is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5" t="inlineStr">
        <is>
          <t>Supplier Per Diems - INTEGRATION</t>
        </is>
      </c>
      <c r="B101" s="2" t="inlineStr">
        <is>
          <t>Cost of Sales</t>
        </is>
      </c>
      <c r="C101" s="2" t="inlineStr">
        <is>
          <t>Integration</t>
        </is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5" t="inlineStr">
        <is>
          <t>Supplier Per Diems - ONS</t>
        </is>
      </c>
      <c r="B102" s="2" t="inlineStr">
        <is>
          <t>Cost of Sales</t>
        </is>
      </c>
      <c r="C102" s="2" t="inlineStr">
        <is>
          <t>Onsite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5" t="inlineStr">
        <is>
          <t>Supplier Per Diems - PRD</t>
        </is>
      </c>
      <c r="B103" s="2" t="inlineStr">
        <is>
          <t>Cost of Sales</t>
        </is>
      </c>
      <c r="C103" s="2" t="inlineStr">
        <is>
          <t>Production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5" t="inlineStr">
        <is>
          <t>Supplier Per Diems - VID</t>
        </is>
      </c>
      <c r="B104" s="2" t="inlineStr">
        <is>
          <t>Cost of Sales</t>
        </is>
      </c>
      <c r="C104" s="2" t="inlineStr">
        <is>
          <t>Video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5" t="inlineStr">
        <is>
          <t>Cash Flow Boost</t>
        </is>
      </c>
      <c r="B105" s="2" t="inlineStr">
        <is>
          <t>Other Income</t>
        </is>
      </c>
      <c r="C105" s="2" t="inlineStr">
        <is>
          <t>Unallocated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5" t="inlineStr">
        <is>
          <t>Employee FBT Contribtution</t>
        </is>
      </c>
      <c r="B106" s="2" t="inlineStr">
        <is>
          <t>Other Income</t>
        </is>
      </c>
      <c r="C106" s="2" t="inlineStr">
        <is>
          <t>Unallocated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5" t="inlineStr">
        <is>
          <t>Gain on lease termination</t>
        </is>
      </c>
      <c r="B107" s="2" t="inlineStr">
        <is>
          <t>Other Income</t>
        </is>
      </c>
      <c r="C107" s="2" t="inlineStr">
        <is>
          <t>Unallocated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5" t="inlineStr">
        <is>
          <t>Income Other</t>
        </is>
      </c>
      <c r="B108" s="2" t="inlineStr">
        <is>
          <t>Other Income</t>
        </is>
      </c>
      <c r="C108" s="2" t="inlineStr">
        <is>
          <t>Unallocated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5" t="inlineStr">
        <is>
          <t>Interest Income</t>
        </is>
      </c>
      <c r="B109" s="2" t="inlineStr">
        <is>
          <t>Other Income</t>
        </is>
      </c>
      <c r="C109" s="2" t="inlineStr">
        <is>
          <t>Unallocated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5" t="inlineStr">
        <is>
          <t>Interest Received</t>
        </is>
      </c>
      <c r="B110" s="2" t="inlineStr">
        <is>
          <t>Other Income</t>
        </is>
      </c>
      <c r="C110" s="2" t="inlineStr">
        <is>
          <t>Unallocated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5" t="inlineStr">
        <is>
          <t>JobKeeper Subsidy</t>
        </is>
      </c>
      <c r="B111" s="2" t="inlineStr">
        <is>
          <t>Other Income</t>
        </is>
      </c>
      <c r="C111" s="2" t="inlineStr">
        <is>
          <t>Unallocated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5" t="inlineStr">
        <is>
          <t>JobSaver Subsidy</t>
        </is>
      </c>
      <c r="B112" s="2" t="inlineStr">
        <is>
          <t>Other Income</t>
        </is>
      </c>
      <c r="C112" s="2" t="inlineStr">
        <is>
          <t>Unallocated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5" t="inlineStr">
        <is>
          <t>Rental Income</t>
        </is>
      </c>
      <c r="B113" s="2" t="inlineStr">
        <is>
          <t>Other Income</t>
        </is>
      </c>
      <c r="C113" s="2" t="inlineStr">
        <is>
          <t>Unallocated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5" t="inlineStr">
        <is>
          <t>1300 Number</t>
        </is>
      </c>
      <c r="B114" s="2" t="inlineStr">
        <is>
          <t>Expenses</t>
        </is>
      </c>
      <c r="C114" s="2" t="inlineStr">
        <is>
          <t>Unallocated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5" t="inlineStr">
        <is>
          <t>Accounting Fees</t>
        </is>
      </c>
      <c r="B115" s="2" t="inlineStr">
        <is>
          <t>Expenses</t>
        </is>
      </c>
      <c r="C115" s="2" t="inlineStr">
        <is>
          <t>Unallocated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5" t="inlineStr">
        <is>
          <t>Advertising</t>
        </is>
      </c>
      <c r="B116" s="2" t="inlineStr">
        <is>
          <t>Expenses</t>
        </is>
      </c>
      <c r="C116" s="2" t="inlineStr">
        <is>
          <t>Unallocated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5" t="inlineStr">
        <is>
          <t>Bad Debts</t>
        </is>
      </c>
      <c r="B117" s="2" t="inlineStr">
        <is>
          <t>Expenses</t>
        </is>
      </c>
      <c r="C117" s="2" t="inlineStr">
        <is>
          <t>Unallocated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5" t="inlineStr">
        <is>
          <t>Bank Charges</t>
        </is>
      </c>
      <c r="B118" s="2" t="inlineStr">
        <is>
          <t>Expenses</t>
        </is>
      </c>
      <c r="C118" s="2" t="inlineStr">
        <is>
          <t>Unallocated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5" t="inlineStr">
        <is>
          <t>Bank Revaluations</t>
        </is>
      </c>
      <c r="B119" s="2" t="inlineStr">
        <is>
          <t>Expenses</t>
        </is>
      </c>
      <c r="C119" s="2" t="inlineStr">
        <is>
          <t>Unallocated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5" t="inlineStr">
        <is>
          <t>Business Advisory</t>
        </is>
      </c>
      <c r="B120" s="2" t="inlineStr">
        <is>
          <t>Expenses</t>
        </is>
      </c>
      <c r="C120" s="2" t="inlineStr">
        <is>
          <t>Unallocated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5" t="inlineStr">
        <is>
          <t>Business Combined</t>
        </is>
      </c>
      <c r="B121" s="2" t="inlineStr">
        <is>
          <t>Expenses</t>
        </is>
      </c>
      <c r="C121" s="2" t="inlineStr">
        <is>
          <t>Unallocated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5" t="inlineStr">
        <is>
          <t>Client Entertainment</t>
        </is>
      </c>
      <c r="B122" s="2" t="inlineStr">
        <is>
          <t>Expenses</t>
        </is>
      </c>
      <c r="C122" s="2" t="inlineStr">
        <is>
          <t>Unallocated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5" t="inlineStr">
        <is>
          <t>Credit Card Fees Paid</t>
        </is>
      </c>
      <c r="B123" s="2" t="inlineStr">
        <is>
          <t>Expenses</t>
        </is>
      </c>
      <c r="C123" s="2" t="inlineStr">
        <is>
          <t>Unallocated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5" t="inlineStr">
        <is>
          <t>Custodian Vaults</t>
        </is>
      </c>
      <c r="B124" s="2" t="inlineStr">
        <is>
          <t>Expenses</t>
        </is>
      </c>
      <c r="C124" s="2" t="inlineStr">
        <is>
          <t>Unallocated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5" t="inlineStr">
        <is>
          <t>Depreciation</t>
        </is>
      </c>
      <c r="B125" s="2" t="inlineStr">
        <is>
          <t>Expenses</t>
        </is>
      </c>
      <c r="C125" s="2" t="inlineStr">
        <is>
          <t>Unallocated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5" t="inlineStr">
        <is>
          <t>Depreciation - ROU</t>
        </is>
      </c>
      <c r="B126" s="2" t="inlineStr">
        <is>
          <t>Expenses</t>
        </is>
      </c>
      <c r="C126" s="2" t="inlineStr">
        <is>
          <t>Unallocated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5" t="inlineStr">
        <is>
          <t>Discounts Taken</t>
        </is>
      </c>
      <c r="B127" s="2" t="inlineStr">
        <is>
          <t>Expenses</t>
        </is>
      </c>
      <c r="C127" s="2" t="inlineStr">
        <is>
          <t>Unallocated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5" t="inlineStr">
        <is>
          <t>Disposal of fixed assets</t>
        </is>
      </c>
      <c r="B128" s="2" t="inlineStr">
        <is>
          <t>Expenses</t>
        </is>
      </c>
      <c r="C128" s="2" t="inlineStr">
        <is>
          <t>Unallocated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5" t="inlineStr">
        <is>
          <t>Dividend paid [93000]</t>
        </is>
      </c>
      <c r="B129" s="2" t="inlineStr">
        <is>
          <t>Expenses</t>
        </is>
      </c>
      <c r="C129" s="2" t="inlineStr">
        <is>
          <t>Unallocated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5" t="inlineStr">
        <is>
          <t>Donations / Charity</t>
        </is>
      </c>
      <c r="B130" s="2" t="inlineStr">
        <is>
          <t>Expenses</t>
        </is>
      </c>
      <c r="C130" s="2" t="inlineStr">
        <is>
          <t>Unallocated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5" t="inlineStr">
        <is>
          <t>Dues &amp; Subscriptions</t>
        </is>
      </c>
      <c r="B131" s="2" t="inlineStr">
        <is>
          <t>Expenses</t>
        </is>
      </c>
      <c r="C131" s="2" t="inlineStr">
        <is>
          <t>Unallocated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5" t="inlineStr">
        <is>
          <t>Electricity</t>
        </is>
      </c>
      <c r="B132" s="2" t="inlineStr">
        <is>
          <t>Expenses</t>
        </is>
      </c>
      <c r="C132" s="2" t="inlineStr">
        <is>
          <t>Unallocated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5" t="inlineStr">
        <is>
          <t>Fax</t>
        </is>
      </c>
      <c r="B133" s="2" t="inlineStr">
        <is>
          <t>Expenses</t>
        </is>
      </c>
      <c r="C133" s="2" t="inlineStr">
        <is>
          <t>Unallocated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5" t="inlineStr">
        <is>
          <t>Filing Fee</t>
        </is>
      </c>
      <c r="B134" s="2" t="inlineStr">
        <is>
          <t>Expenses</t>
        </is>
      </c>
      <c r="C134" s="2" t="inlineStr">
        <is>
          <t>Unallocated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5" t="inlineStr">
        <is>
          <t>Foreign Currency Translation*</t>
        </is>
      </c>
      <c r="B135" s="2" t="inlineStr">
        <is>
          <t>Expenses</t>
        </is>
      </c>
      <c r="C135" s="2" t="inlineStr">
        <is>
          <t>Unallocated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5" t="inlineStr">
        <is>
          <t>Freight Paid</t>
        </is>
      </c>
      <c r="B136" s="2" t="inlineStr">
        <is>
          <t>Expenses</t>
        </is>
      </c>
      <c r="C136" s="2" t="inlineStr">
        <is>
          <t>Unallocated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5" t="inlineStr">
        <is>
          <t>Fringe Benefits Tax</t>
        </is>
      </c>
      <c r="B137" s="2" t="inlineStr">
        <is>
          <t>Expenses</t>
        </is>
      </c>
      <c r="C137" s="2" t="inlineStr">
        <is>
          <t>Unallocated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5" t="inlineStr">
        <is>
          <t>IT Network Service &amp; Support</t>
        </is>
      </c>
      <c r="B138" s="2" t="inlineStr">
        <is>
          <t>Expenses</t>
        </is>
      </c>
      <c r="C138" s="2" t="inlineStr">
        <is>
          <t>Unallocated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5" t="inlineStr">
        <is>
          <t>Income Tax Expense</t>
        </is>
      </c>
      <c r="B139" s="2" t="inlineStr">
        <is>
          <t>Expenses</t>
        </is>
      </c>
      <c r="C139" s="2" t="inlineStr">
        <is>
          <t>Unallocated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5" t="inlineStr">
        <is>
          <t>Indirect Salaries - ADMIN</t>
        </is>
      </c>
      <c r="B140" s="2" t="inlineStr">
        <is>
          <t>Expenses</t>
        </is>
      </c>
      <c r="C140" s="2" t="inlineStr">
        <is>
          <t>Admin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5" t="inlineStr">
        <is>
          <t>Indirect Salaries - CONS</t>
        </is>
      </c>
      <c r="B141" s="2" t="inlineStr">
        <is>
          <t>Expenses</t>
        </is>
      </c>
      <c r="C141" s="2" t="inlineStr">
        <is>
          <t>Consulting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5" t="inlineStr">
        <is>
          <t>Indirect Salaries - INTEGRATION</t>
        </is>
      </c>
      <c r="B142" s="2" t="inlineStr">
        <is>
          <t>Expenses</t>
        </is>
      </c>
      <c r="C142" s="2" t="inlineStr">
        <is>
          <t>Integration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5" t="inlineStr">
        <is>
          <t>Indirect Salaries - ONS</t>
        </is>
      </c>
      <c r="B143" s="2" t="inlineStr">
        <is>
          <t>Expenses</t>
        </is>
      </c>
      <c r="C143" s="2" t="inlineStr">
        <is>
          <t>Onsite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5" t="inlineStr">
        <is>
          <t>Indirect Salaries - PRD</t>
        </is>
      </c>
      <c r="B144" s="2" t="inlineStr">
        <is>
          <t>Expenses</t>
        </is>
      </c>
      <c r="C144" s="2" t="inlineStr">
        <is>
          <t>Production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5" t="inlineStr">
        <is>
          <t>Indirect Salaries - VID</t>
        </is>
      </c>
      <c r="B145" s="2" t="inlineStr">
        <is>
          <t>Expenses</t>
        </is>
      </c>
      <c r="C145" s="2" t="inlineStr">
        <is>
          <t>Video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5" t="inlineStr">
        <is>
          <t>Indirect Wages - ADMIN</t>
        </is>
      </c>
      <c r="B146" s="2" t="inlineStr">
        <is>
          <t>Expenses</t>
        </is>
      </c>
      <c r="C146" s="2" t="inlineStr">
        <is>
          <t>Admin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5" t="inlineStr">
        <is>
          <t>Indirect Wages - CONS</t>
        </is>
      </c>
      <c r="B147" s="2" t="inlineStr">
        <is>
          <t>Expenses</t>
        </is>
      </c>
      <c r="C147" s="2" t="inlineStr">
        <is>
          <t>Consulting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5" t="inlineStr">
        <is>
          <t>Indirect Wages - INTEGRATION</t>
        </is>
      </c>
      <c r="B148" s="2" t="inlineStr">
        <is>
          <t>Expenses</t>
        </is>
      </c>
      <c r="C148" s="2" t="inlineStr">
        <is>
          <t>Integration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5" t="inlineStr">
        <is>
          <t>Indirect Wages - ONS</t>
        </is>
      </c>
      <c r="B149" s="2" t="inlineStr">
        <is>
          <t>Expenses</t>
        </is>
      </c>
      <c r="C149" s="2" t="inlineStr">
        <is>
          <t>Onsite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5" t="inlineStr">
        <is>
          <t>Indirect Wages - PRD</t>
        </is>
      </c>
      <c r="B150" s="2" t="inlineStr">
        <is>
          <t>Expenses</t>
        </is>
      </c>
      <c r="C150" s="2" t="inlineStr">
        <is>
          <t>Production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5" t="inlineStr">
        <is>
          <t>Indirect Wages - VID</t>
        </is>
      </c>
      <c r="B151" s="2" t="inlineStr">
        <is>
          <t>Expenses</t>
        </is>
      </c>
      <c r="C151" s="2" t="inlineStr">
        <is>
          <t>Video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5" t="inlineStr">
        <is>
          <t>Instant Asset Write Off</t>
        </is>
      </c>
      <c r="B152" s="2" t="inlineStr">
        <is>
          <t>Expenses</t>
        </is>
      </c>
      <c r="C152" s="2" t="inlineStr">
        <is>
          <t>Unallocated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5" t="inlineStr">
        <is>
          <t>Insurance</t>
        </is>
      </c>
      <c r="B153" s="2" t="inlineStr">
        <is>
          <t>Expenses</t>
        </is>
      </c>
      <c r="C153" s="2" t="inlineStr">
        <is>
          <t>Unallocated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5" t="inlineStr">
        <is>
          <t>Interest Expense</t>
        </is>
      </c>
      <c r="B154" s="2" t="inlineStr">
        <is>
          <t>Expenses</t>
        </is>
      </c>
      <c r="C154" s="2" t="inlineStr">
        <is>
          <t>Unallocated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5" t="inlineStr">
        <is>
          <t>Internet</t>
        </is>
      </c>
      <c r="B155" s="2" t="inlineStr">
        <is>
          <t>Expenses</t>
        </is>
      </c>
      <c r="C155" s="2" t="inlineStr">
        <is>
          <t>Unallocated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5" t="inlineStr">
        <is>
          <t>Leave expense (Annual)</t>
        </is>
      </c>
      <c r="B156" s="2" t="inlineStr">
        <is>
          <t>Expenses</t>
        </is>
      </c>
      <c r="C156" s="2" t="inlineStr">
        <is>
          <t>Unallocated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5" t="inlineStr">
        <is>
          <t>Leave expense (Long Service)</t>
        </is>
      </c>
      <c r="B157" s="2" t="inlineStr">
        <is>
          <t>Expenses</t>
        </is>
      </c>
      <c r="C157" s="2" t="inlineStr">
        <is>
          <t>Unallocated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5" t="inlineStr">
        <is>
          <t>Legal Fees</t>
        </is>
      </c>
      <c r="B158" s="2" t="inlineStr">
        <is>
          <t>Expenses</t>
        </is>
      </c>
      <c r="C158" s="2" t="inlineStr">
        <is>
          <t>Unallocated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5" t="inlineStr">
        <is>
          <t>Mobile Phones</t>
        </is>
      </c>
      <c r="B159" s="2" t="inlineStr">
        <is>
          <t>Expenses</t>
        </is>
      </c>
      <c r="C159" s="2" t="inlineStr">
        <is>
          <t>Unallocated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5" t="inlineStr">
        <is>
          <t>Office Cleaning</t>
        </is>
      </c>
      <c r="B160" s="2" t="inlineStr">
        <is>
          <t>Expenses</t>
        </is>
      </c>
      <c r="C160" s="2" t="inlineStr">
        <is>
          <t>Unallocated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5" t="inlineStr">
        <is>
          <t>Office Phones</t>
        </is>
      </c>
      <c r="B161" s="2" t="inlineStr">
        <is>
          <t>Expenses</t>
        </is>
      </c>
      <c r="C161" s="2" t="inlineStr">
        <is>
          <t>Unallocated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5" t="inlineStr">
        <is>
          <t>Office Rentals</t>
        </is>
      </c>
      <c r="B162" s="2" t="inlineStr">
        <is>
          <t>Expenses</t>
        </is>
      </c>
      <c r="C162" s="2" t="inlineStr">
        <is>
          <t>Unallocated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5" t="inlineStr">
        <is>
          <t>Office Supplies</t>
        </is>
      </c>
      <c r="B163" s="2" t="inlineStr">
        <is>
          <t>Expenses</t>
        </is>
      </c>
      <c r="C163" s="2" t="inlineStr">
        <is>
          <t>Unallocated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5" t="inlineStr">
        <is>
          <t>Office Supplies [61500]</t>
        </is>
      </c>
      <c r="B164" s="2" t="inlineStr">
        <is>
          <t>Expenses</t>
        </is>
      </c>
      <c r="C164" s="2" t="inlineStr">
        <is>
          <t>Unallocated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5" t="inlineStr">
        <is>
          <t>Other Expenses [64900]</t>
        </is>
      </c>
      <c r="B165" s="2" t="inlineStr">
        <is>
          <t>Expenses</t>
        </is>
      </c>
      <c r="C165" s="2" t="inlineStr">
        <is>
          <t>Unallocated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5" t="inlineStr">
        <is>
          <t>Other Insurance</t>
        </is>
      </c>
      <c r="B166" s="2" t="inlineStr">
        <is>
          <t>Expenses</t>
        </is>
      </c>
      <c r="C166" s="2" t="inlineStr">
        <is>
          <t>Unallocated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5" t="inlineStr">
        <is>
          <t>Other Telco Expenses</t>
        </is>
      </c>
      <c r="B167" s="2" t="inlineStr">
        <is>
          <t>Expenses</t>
        </is>
      </c>
      <c r="C167" s="2" t="inlineStr">
        <is>
          <t>Unallocated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5" t="inlineStr">
        <is>
          <t>Pager</t>
        </is>
      </c>
      <c r="B168" s="2" t="inlineStr">
        <is>
          <t>Expenses</t>
        </is>
      </c>
      <c r="C168" s="2" t="inlineStr">
        <is>
          <t>Unallocated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5" t="inlineStr">
        <is>
          <t>Payroll Processing Fee</t>
        </is>
      </c>
      <c r="B169" s="2" t="inlineStr">
        <is>
          <t>Expenses</t>
        </is>
      </c>
      <c r="C169" s="2" t="inlineStr">
        <is>
          <t>Unallocated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5" t="inlineStr">
        <is>
          <t>Payroll Tax</t>
        </is>
      </c>
      <c r="B170" s="2" t="inlineStr">
        <is>
          <t>Expenses</t>
        </is>
      </c>
      <c r="C170" s="2" t="inlineStr">
        <is>
          <t>Unallocated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5" t="inlineStr">
        <is>
          <t>Postage</t>
        </is>
      </c>
      <c r="B171" s="2" t="inlineStr">
        <is>
          <t>Expenses</t>
        </is>
      </c>
      <c r="C171" s="2" t="inlineStr">
        <is>
          <t>Unallocated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5" t="inlineStr">
        <is>
          <t>Printing</t>
        </is>
      </c>
      <c r="B172" s="2" t="inlineStr">
        <is>
          <t>Expenses</t>
        </is>
      </c>
      <c r="C172" s="2" t="inlineStr">
        <is>
          <t>Unallocated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5" t="inlineStr">
        <is>
          <t>Professional Indemnity</t>
        </is>
      </c>
      <c r="B173" s="2" t="inlineStr">
        <is>
          <t>Expenses</t>
        </is>
      </c>
      <c r="C173" s="2" t="inlineStr">
        <is>
          <t>Unallocated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5" t="inlineStr">
        <is>
          <t>Realised Currency Gains</t>
        </is>
      </c>
      <c r="B174" s="2" t="inlineStr">
        <is>
          <t>Expenses</t>
        </is>
      </c>
      <c r="C174" s="2" t="inlineStr">
        <is>
          <t>Unallocated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5" t="inlineStr">
        <is>
          <t>Recruitment</t>
        </is>
      </c>
      <c r="B175" s="2" t="inlineStr">
        <is>
          <t>Expenses</t>
        </is>
      </c>
      <c r="C175" s="2" t="inlineStr">
        <is>
          <t>Unallocated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5" t="inlineStr">
        <is>
          <t>Rent</t>
        </is>
      </c>
      <c r="B176" s="2" t="inlineStr">
        <is>
          <t>Expenses</t>
        </is>
      </c>
      <c r="C176" s="2" t="inlineStr">
        <is>
          <t>Unallocated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5" t="inlineStr">
        <is>
          <t>Rental Outgoings</t>
        </is>
      </c>
      <c r="B177" s="2" t="inlineStr">
        <is>
          <t>Expenses</t>
        </is>
      </c>
      <c r="C177" s="2" t="inlineStr">
        <is>
          <t>Unallocated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5" t="inlineStr">
        <is>
          <t>Repairs &amp; Maintenance</t>
        </is>
      </c>
      <c r="B178" s="2" t="inlineStr">
        <is>
          <t>Expenses</t>
        </is>
      </c>
      <c r="C178" s="2" t="inlineStr">
        <is>
          <t>Unallocated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5" t="inlineStr">
        <is>
          <t>Replacements</t>
        </is>
      </c>
      <c r="B179" s="2" t="inlineStr">
        <is>
          <t>Expenses</t>
        </is>
      </c>
      <c r="C179" s="2" t="inlineStr">
        <is>
          <t>Unallocated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5" t="inlineStr">
        <is>
          <t>SGC Penalties</t>
        </is>
      </c>
      <c r="B180" s="2" t="inlineStr">
        <is>
          <t>Expenses</t>
        </is>
      </c>
      <c r="C180" s="2" t="inlineStr">
        <is>
          <t>Unallocated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5" t="inlineStr">
        <is>
          <t>Staff Amenities</t>
        </is>
      </c>
      <c r="B181" s="2" t="inlineStr">
        <is>
          <t>Expenses</t>
        </is>
      </c>
      <c r="C181" s="2" t="inlineStr">
        <is>
          <t>Unallocated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5" t="inlineStr">
        <is>
          <t>Staff Entertainment</t>
        </is>
      </c>
      <c r="B182" s="2" t="inlineStr">
        <is>
          <t>Expenses</t>
        </is>
      </c>
      <c r="C182" s="2" t="inlineStr">
        <is>
          <t>Unallocated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5" t="inlineStr">
        <is>
          <t>Stamp Duty (Indirect)</t>
        </is>
      </c>
      <c r="B183" s="2" t="inlineStr">
        <is>
          <t>Expenses</t>
        </is>
      </c>
      <c r="C183" s="2" t="inlineStr">
        <is>
          <t>Unallocated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5" t="inlineStr">
        <is>
          <t>Storage Fees</t>
        </is>
      </c>
      <c r="B184" s="2" t="inlineStr">
        <is>
          <t>Expenses</t>
        </is>
      </c>
      <c r="C184" s="2" t="inlineStr">
        <is>
          <t>Unallocated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5" t="inlineStr">
        <is>
          <t>Stripe Fees</t>
        </is>
      </c>
      <c r="B185" s="2" t="inlineStr">
        <is>
          <t>Expenses</t>
        </is>
      </c>
      <c r="C185" s="2" t="inlineStr">
        <is>
          <t>Unallocated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5" t="inlineStr">
        <is>
          <t>Superannuation</t>
        </is>
      </c>
      <c r="B186" s="2" t="inlineStr">
        <is>
          <t>Expenses</t>
        </is>
      </c>
      <c r="C186" s="2" t="inlineStr">
        <is>
          <t>Unallocated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5" t="inlineStr">
        <is>
          <t>Taxis/Parking</t>
        </is>
      </c>
      <c r="B187" s="2" t="inlineStr">
        <is>
          <t>Expenses</t>
        </is>
      </c>
      <c r="C187" s="2" t="inlineStr">
        <is>
          <t>Unallocated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5" t="inlineStr">
        <is>
          <t>Training Material &amp; Courses</t>
        </is>
      </c>
      <c r="B188" s="2" t="inlineStr">
        <is>
          <t>Expenses</t>
        </is>
      </c>
      <c r="C188" s="2" t="inlineStr">
        <is>
          <t>Unallocated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5" t="inlineStr">
        <is>
          <t>Travel &amp; Per Diems</t>
        </is>
      </c>
      <c r="B189" s="2" t="inlineStr">
        <is>
          <t>Expenses</t>
        </is>
      </c>
      <c r="C189" s="2" t="inlineStr">
        <is>
          <t>Unallocated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5" t="inlineStr">
        <is>
          <t>Travel Insurance</t>
        </is>
      </c>
      <c r="B190" s="2" t="inlineStr">
        <is>
          <t>Expenses</t>
        </is>
      </c>
      <c r="C190" s="2" t="inlineStr">
        <is>
          <t>Unallocated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5" t="inlineStr">
        <is>
          <t>Under/(Over) provision for tax</t>
        </is>
      </c>
      <c r="B191" s="2" t="inlineStr">
        <is>
          <t>Expenses</t>
        </is>
      </c>
      <c r="C191" s="2" t="inlineStr">
        <is>
          <t>Unallocated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5" t="inlineStr">
        <is>
          <t>Unrealised Currency Gains</t>
        </is>
      </c>
      <c r="B192" s="2" t="inlineStr">
        <is>
          <t>Expenses</t>
        </is>
      </c>
      <c r="C192" s="2" t="inlineStr">
        <is>
          <t>Unallocated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5" t="inlineStr">
        <is>
          <t>Workers' Compensation</t>
        </is>
      </c>
      <c r="B193" s="2" t="inlineStr">
        <is>
          <t>Expenses</t>
        </is>
      </c>
      <c r="C193" s="2" t="inlineStr">
        <is>
          <t>Unallocated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</sheetData>
  <autoFilter ref="A3:AA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Budget: paste your Xero export here</t>
        </is>
      </c>
    </row>
    <row r="2">
      <c r="A2" s="2" t="inlineStr">
        <is>
          <t>Yellow cells only. Enter the budget for each account by month, in the same layout as Actuals.</t>
        </is>
      </c>
    </row>
    <row r="3" ht="28" customHeight="1">
      <c r="A3" s="3" t="inlineStr">
        <is>
          <t>Account</t>
        </is>
      </c>
      <c r="B3" s="4" t="inlineStr">
        <is>
          <t>Group</t>
        </is>
      </c>
      <c r="C3" s="4" t="inlineStr">
        <is>
          <t>Division</t>
        </is>
      </c>
      <c r="D3" s="4" t="inlineStr">
        <is>
          <t>Jul-25</t>
        </is>
      </c>
      <c r="E3" s="4" t="inlineStr">
        <is>
          <t>Aug-25</t>
        </is>
      </c>
      <c r="F3" s="4" t="inlineStr">
        <is>
          <t>Sep-25</t>
        </is>
      </c>
      <c r="G3" s="4" t="inlineStr">
        <is>
          <t>Oct-25</t>
        </is>
      </c>
      <c r="H3" s="4" t="inlineStr">
        <is>
          <t>Nov-25</t>
        </is>
      </c>
      <c r="I3" s="4" t="inlineStr">
        <is>
          <t>Dec-25</t>
        </is>
      </c>
      <c r="J3" s="4" t="inlineStr">
        <is>
          <t>Jan-26</t>
        </is>
      </c>
      <c r="K3" s="4" t="inlineStr">
        <is>
          <t>Feb-26</t>
        </is>
      </c>
      <c r="L3" s="4" t="inlineStr">
        <is>
          <t>Mar-26</t>
        </is>
      </c>
      <c r="M3" s="4" t="inlineStr">
        <is>
          <t>Apr-26</t>
        </is>
      </c>
      <c r="N3" s="4" t="inlineStr">
        <is>
          <t>May-26</t>
        </is>
      </c>
      <c r="O3" s="4" t="inlineStr">
        <is>
          <t>Jun-26</t>
        </is>
      </c>
      <c r="P3" s="4" t="inlineStr">
        <is>
          <t>Jul-26</t>
        </is>
      </c>
      <c r="Q3" s="4" t="inlineStr">
        <is>
          <t>Aug-26</t>
        </is>
      </c>
      <c r="R3" s="4" t="inlineStr">
        <is>
          <t>Sep-26</t>
        </is>
      </c>
      <c r="S3" s="4" t="inlineStr">
        <is>
          <t>Oct-26</t>
        </is>
      </c>
      <c r="T3" s="4" t="inlineStr">
        <is>
          <t>Nov-26</t>
        </is>
      </c>
      <c r="U3" s="4" t="inlineStr">
        <is>
          <t>Dec-26</t>
        </is>
      </c>
      <c r="V3" s="4" t="inlineStr">
        <is>
          <t>Jan-27</t>
        </is>
      </c>
      <c r="W3" s="4" t="inlineStr">
        <is>
          <t>Feb-27</t>
        </is>
      </c>
      <c r="X3" s="4" t="inlineStr">
        <is>
          <t>Mar-27</t>
        </is>
      </c>
      <c r="Y3" s="4" t="inlineStr">
        <is>
          <t>Apr-27</t>
        </is>
      </c>
      <c r="Z3" s="4" t="inlineStr">
        <is>
          <t>May-27</t>
        </is>
      </c>
      <c r="AA3" s="4" t="inlineStr">
        <is>
          <t>Jun-27</t>
        </is>
      </c>
    </row>
    <row r="4">
      <c r="A4" s="5" t="inlineStr">
        <is>
          <t>Ad Hoc Service Labour</t>
        </is>
      </c>
      <c r="B4" s="2" t="inlineStr">
        <is>
          <t>Income</t>
        </is>
      </c>
      <c r="C4" s="2" t="inlineStr">
        <is>
          <t>Unallocated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5" t="inlineStr">
        <is>
          <t>Closing Work in Progress</t>
        </is>
      </c>
      <c r="B5" s="2" t="inlineStr">
        <is>
          <t>Income</t>
        </is>
      </c>
      <c r="C5" s="2" t="inlineStr">
        <is>
          <t>Unallocated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5" t="inlineStr">
        <is>
          <t>Conference Call Charge</t>
        </is>
      </c>
      <c r="B6" s="2" t="inlineStr">
        <is>
          <t>Income</t>
        </is>
      </c>
      <c r="C6" s="2" t="inlineStr">
        <is>
          <t>Unallocated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5" t="inlineStr">
        <is>
          <t>Contract Help Desk</t>
        </is>
      </c>
      <c r="B7" s="2" t="inlineStr">
        <is>
          <t>Income</t>
        </is>
      </c>
      <c r="C7" s="2" t="inlineStr">
        <is>
          <t>Unallocated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5" t="inlineStr">
        <is>
          <t>Contract Maintenance</t>
        </is>
      </c>
      <c r="B8" s="2" t="inlineStr">
        <is>
          <t>Income</t>
        </is>
      </c>
      <c r="C8" s="2" t="inlineStr">
        <is>
          <t>Unallocated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5" t="inlineStr">
        <is>
          <t>Contract Support Staff</t>
        </is>
      </c>
      <c r="B9" s="2" t="inlineStr">
        <is>
          <t>Income</t>
        </is>
      </c>
      <c r="C9" s="2" t="inlineStr">
        <is>
          <t>Unallocated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5" t="inlineStr">
        <is>
          <t>Credit Card Collected - CONS</t>
        </is>
      </c>
      <c r="B10" s="2" t="inlineStr">
        <is>
          <t>Income</t>
        </is>
      </c>
      <c r="C10" s="2" t="inlineStr">
        <is>
          <t>Consulting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5" t="inlineStr">
        <is>
          <t>Credit Card Collected - ONS</t>
        </is>
      </c>
      <c r="B11" s="2" t="inlineStr">
        <is>
          <t>Income</t>
        </is>
      </c>
      <c r="C11" s="2" t="inlineStr">
        <is>
          <t>Onsite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5" t="inlineStr">
        <is>
          <t>Credit Card Collected - PRD</t>
        </is>
      </c>
      <c r="B12" s="2" t="inlineStr">
        <is>
          <t>Income</t>
        </is>
      </c>
      <c r="C12" s="2" t="inlineStr">
        <is>
          <t>Production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5" t="inlineStr">
        <is>
          <t>Credit Card Collected - VID</t>
        </is>
      </c>
      <c r="B13" s="2" t="inlineStr">
        <is>
          <t>Income</t>
        </is>
      </c>
      <c r="C13" s="2" t="inlineStr">
        <is>
          <t>Video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5" t="inlineStr">
        <is>
          <t>Credit Card Collected-INTEGRATION</t>
        </is>
      </c>
      <c r="B14" s="2" t="inlineStr">
        <is>
          <t>Income</t>
        </is>
      </c>
      <c r="C14" s="2" t="inlineStr">
        <is>
          <t>Integration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5" t="inlineStr">
        <is>
          <t>Credit Card Fees - ADMIN</t>
        </is>
      </c>
      <c r="B15" s="2" t="inlineStr">
        <is>
          <t>Income</t>
        </is>
      </c>
      <c r="C15" s="2" t="inlineStr">
        <is>
          <t>Admin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5" t="inlineStr">
        <is>
          <t>Equipment Hires</t>
        </is>
      </c>
      <c r="B16" s="2" t="inlineStr">
        <is>
          <t>Income</t>
        </is>
      </c>
      <c r="C16" s="2" t="inlineStr">
        <is>
          <t>Unallocated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5" t="inlineStr">
        <is>
          <t>Equipment Sales</t>
        </is>
      </c>
      <c r="B17" s="2" t="inlineStr">
        <is>
          <t>Income</t>
        </is>
      </c>
      <c r="C17" s="2" t="inlineStr">
        <is>
          <t>Unallocated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5" t="inlineStr">
        <is>
          <t>Freight &amp; Travel - ADMIN</t>
        </is>
      </c>
      <c r="B18" s="2" t="inlineStr">
        <is>
          <t>Income</t>
        </is>
      </c>
      <c r="C18" s="2" t="inlineStr">
        <is>
          <t>Admin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>
      <c r="A19" s="5" t="inlineStr">
        <is>
          <t>Freight &amp; Travel - CONS</t>
        </is>
      </c>
      <c r="B19" s="2" t="inlineStr">
        <is>
          <t>Income</t>
        </is>
      </c>
      <c r="C19" s="2" t="inlineStr">
        <is>
          <t>Consulting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>
      <c r="A20" s="5" t="inlineStr">
        <is>
          <t>Freight &amp; Travel - INTEGRATION</t>
        </is>
      </c>
      <c r="B20" s="2" t="inlineStr">
        <is>
          <t>Income</t>
        </is>
      </c>
      <c r="C20" s="2" t="inlineStr">
        <is>
          <t>Integration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5" t="inlineStr">
        <is>
          <t>Freight &amp; Travel - ONS</t>
        </is>
      </c>
      <c r="B21" s="2" t="inlineStr">
        <is>
          <t>Income</t>
        </is>
      </c>
      <c r="C21" s="2" t="inlineStr">
        <is>
          <t>Onsite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>
      <c r="A22" s="5" t="inlineStr">
        <is>
          <t>Freight &amp; Travel - PRD</t>
        </is>
      </c>
      <c r="B22" s="2" t="inlineStr">
        <is>
          <t>Income</t>
        </is>
      </c>
      <c r="C22" s="2" t="inlineStr">
        <is>
          <t>Production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5" t="inlineStr">
        <is>
          <t>Freight &amp; Travel - VID</t>
        </is>
      </c>
      <c r="B23" s="2" t="inlineStr">
        <is>
          <t>Income</t>
        </is>
      </c>
      <c r="C23" s="2" t="inlineStr">
        <is>
          <t>Video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>
      <c r="A24" s="5" t="inlineStr">
        <is>
          <t>Installation Labour</t>
        </is>
      </c>
      <c r="B24" s="2" t="inlineStr">
        <is>
          <t>Income</t>
        </is>
      </c>
      <c r="C24" s="2" t="inlineStr">
        <is>
          <t>Unallocated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>
      <c r="A25" s="5" t="inlineStr">
        <is>
          <t>Meal &amp; Travel - ADMIN</t>
        </is>
      </c>
      <c r="B25" s="2" t="inlineStr">
        <is>
          <t>Income</t>
        </is>
      </c>
      <c r="C25" s="2" t="inlineStr">
        <is>
          <t>Admin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5" t="inlineStr">
        <is>
          <t>Meal &amp; Travel - CONS</t>
        </is>
      </c>
      <c r="B26" s="2" t="inlineStr">
        <is>
          <t>Income</t>
        </is>
      </c>
      <c r="C26" s="2" t="inlineStr">
        <is>
          <t>Consulting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5" t="inlineStr">
        <is>
          <t>Meal &amp; Travel - INTEGRATION</t>
        </is>
      </c>
      <c r="B27" s="2" t="inlineStr">
        <is>
          <t>Income</t>
        </is>
      </c>
      <c r="C27" s="2" t="inlineStr">
        <is>
          <t>Integration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>
      <c r="A28" s="5" t="inlineStr">
        <is>
          <t>Meal &amp; Travel - ONS</t>
        </is>
      </c>
      <c r="B28" s="2" t="inlineStr">
        <is>
          <t>Income</t>
        </is>
      </c>
      <c r="C28" s="2" t="inlineStr">
        <is>
          <t>Onsite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>
      <c r="A29" s="5" t="inlineStr">
        <is>
          <t>Meal &amp; Travel - PRD</t>
        </is>
      </c>
      <c r="B29" s="2" t="inlineStr">
        <is>
          <t>Income</t>
        </is>
      </c>
      <c r="C29" s="2" t="inlineStr">
        <is>
          <t>Production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>
      <c r="A30" s="5" t="inlineStr">
        <is>
          <t>Meal &amp; Travel - VID</t>
        </is>
      </c>
      <c r="B30" s="2" t="inlineStr">
        <is>
          <t>Income</t>
        </is>
      </c>
      <c r="C30" s="2" t="inlineStr">
        <is>
          <t>Video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5" t="inlineStr">
        <is>
          <t>Miscellaneous Income</t>
        </is>
      </c>
      <c r="B31" s="2" t="inlineStr">
        <is>
          <t>Income</t>
        </is>
      </c>
      <c r="C31" s="2" t="inlineStr">
        <is>
          <t>Unallocated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5" t="inlineStr">
        <is>
          <t>Mobile Phone Plans</t>
        </is>
      </c>
      <c r="B32" s="2" t="inlineStr">
        <is>
          <t>Income</t>
        </is>
      </c>
      <c r="C32" s="2" t="inlineStr">
        <is>
          <t>Unallocated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>
      <c r="A33" s="5" t="inlineStr">
        <is>
          <t>Opening Work in Progress</t>
        </is>
      </c>
      <c r="B33" s="2" t="inlineStr">
        <is>
          <t>Income</t>
        </is>
      </c>
      <c r="C33" s="2" t="inlineStr">
        <is>
          <t>Unallocated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>
      <c r="A34" s="5" t="inlineStr">
        <is>
          <t>Production Labour</t>
        </is>
      </c>
      <c r="B34" s="2" t="inlineStr">
        <is>
          <t>Income</t>
        </is>
      </c>
      <c r="C34" s="2" t="inlineStr">
        <is>
          <t>Unallocated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>
      <c r="A35" s="5" t="inlineStr">
        <is>
          <t>Subscriptions &amp; Licences - Income</t>
        </is>
      </c>
      <c r="B35" s="2" t="inlineStr">
        <is>
          <t>Income</t>
        </is>
      </c>
      <c r="C35" s="2" t="inlineStr">
        <is>
          <t>Unallocated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5" t="inlineStr">
        <is>
          <t>Tech Consulting/Project Manage</t>
        </is>
      </c>
      <c r="B36" s="2" t="inlineStr">
        <is>
          <t>Income</t>
        </is>
      </c>
      <c r="C36" s="2" t="inlineStr">
        <is>
          <t>Unallocated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>
      <c r="A37" s="5" t="inlineStr">
        <is>
          <t>Tech Event Management</t>
        </is>
      </c>
      <c r="B37" s="2" t="inlineStr">
        <is>
          <t>Income</t>
        </is>
      </c>
      <c r="C37" s="2" t="inlineStr">
        <is>
          <t>Unallocated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>
      <c r="A38" s="5" t="inlineStr">
        <is>
          <t>Video Labour</t>
        </is>
      </c>
      <c r="B38" s="2" t="inlineStr">
        <is>
          <t>Income</t>
        </is>
      </c>
      <c r="C38" s="2" t="inlineStr">
        <is>
          <t>Unallocated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5" t="inlineStr">
        <is>
          <t>Credit Card Paid - ADMIN</t>
        </is>
      </c>
      <c r="B39" s="2" t="inlineStr">
        <is>
          <t>Cost of Sales</t>
        </is>
      </c>
      <c r="C39" s="2" t="inlineStr">
        <is>
          <t>Admin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>
      <c r="A40" s="5" t="inlineStr">
        <is>
          <t>Credit Card Paid - CONS</t>
        </is>
      </c>
      <c r="B40" s="2" t="inlineStr">
        <is>
          <t>Cost of Sales</t>
        </is>
      </c>
      <c r="C40" s="2" t="inlineStr">
        <is>
          <t>Consulting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>
      <c r="A41" s="5" t="inlineStr">
        <is>
          <t>Credit Card Paid - INTEGRATION</t>
        </is>
      </c>
      <c r="B41" s="2" t="inlineStr">
        <is>
          <t>Cost of Sales</t>
        </is>
      </c>
      <c r="C41" s="2" t="inlineStr">
        <is>
          <t>Integration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5" t="inlineStr">
        <is>
          <t>Credit Card Paid - ONS</t>
        </is>
      </c>
      <c r="B42" s="2" t="inlineStr">
        <is>
          <t>Cost of Sales</t>
        </is>
      </c>
      <c r="C42" s="2" t="inlineStr">
        <is>
          <t>Onsite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>
      <c r="A43" s="5" t="inlineStr">
        <is>
          <t>Credit Card Paid - PRD</t>
        </is>
      </c>
      <c r="B43" s="2" t="inlineStr">
        <is>
          <t>Cost of Sales</t>
        </is>
      </c>
      <c r="C43" s="2" t="inlineStr">
        <is>
          <t>Production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>
      <c r="A44" s="5" t="inlineStr">
        <is>
          <t>Credit Card Paid - VID</t>
        </is>
      </c>
      <c r="B44" s="2" t="inlineStr">
        <is>
          <t>Cost of Sales</t>
        </is>
      </c>
      <c r="C44" s="2" t="inlineStr">
        <is>
          <t>Video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5" t="inlineStr">
        <is>
          <t>Damage Waiver</t>
        </is>
      </c>
      <c r="B45" s="2" t="inlineStr">
        <is>
          <t>Cost of Sales</t>
        </is>
      </c>
      <c r="C45" s="2" t="inlineStr">
        <is>
          <t>Unallocated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>
      <c r="A46" s="5" t="inlineStr">
        <is>
          <t>Direct Freight - ADMIN</t>
        </is>
      </c>
      <c r="B46" s="2" t="inlineStr">
        <is>
          <t>Cost of Sales</t>
        </is>
      </c>
      <c r="C46" s="2" t="inlineStr">
        <is>
          <t>Admin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>
      <c r="A47" s="5" t="inlineStr">
        <is>
          <t>Direct Freight - CONS</t>
        </is>
      </c>
      <c r="B47" s="2" t="inlineStr">
        <is>
          <t>Cost of Sales</t>
        </is>
      </c>
      <c r="C47" s="2" t="inlineStr">
        <is>
          <t>Consulting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5" t="inlineStr">
        <is>
          <t>Direct Freight - INTEGRATION</t>
        </is>
      </c>
      <c r="B48" s="2" t="inlineStr">
        <is>
          <t>Cost of Sales</t>
        </is>
      </c>
      <c r="C48" s="2" t="inlineStr">
        <is>
          <t>Integration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>
      <c r="A49" s="5" t="inlineStr">
        <is>
          <t>Direct Freight - ONS</t>
        </is>
      </c>
      <c r="B49" s="2" t="inlineStr">
        <is>
          <t>Cost of Sales</t>
        </is>
      </c>
      <c r="C49" s="2" t="inlineStr">
        <is>
          <t>Onsite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>
      <c r="A50" s="5" t="inlineStr">
        <is>
          <t>Direct Freight - PRD</t>
        </is>
      </c>
      <c r="B50" s="2" t="inlineStr">
        <is>
          <t>Cost of Sales</t>
        </is>
      </c>
      <c r="C50" s="2" t="inlineStr">
        <is>
          <t>Production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5" t="inlineStr">
        <is>
          <t>Direct Freight - VID</t>
        </is>
      </c>
      <c r="B51" s="2" t="inlineStr">
        <is>
          <t>Cost of Sales</t>
        </is>
      </c>
      <c r="C51" s="2" t="inlineStr">
        <is>
          <t>Video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>
      <c r="A52" s="5" t="inlineStr">
        <is>
          <t>Direct Mobile - CONS</t>
        </is>
      </c>
      <c r="B52" s="2" t="inlineStr">
        <is>
          <t>Cost of Sales</t>
        </is>
      </c>
      <c r="C52" s="2" t="inlineStr">
        <is>
          <t>Consulting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>
      <c r="A53" s="5" t="inlineStr">
        <is>
          <t>Direct Mobile - INTEGRATION</t>
        </is>
      </c>
      <c r="B53" s="2" t="inlineStr">
        <is>
          <t>Cost of Sales</t>
        </is>
      </c>
      <c r="C53" s="2" t="inlineStr">
        <is>
          <t>Integration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>
      <c r="A54" s="5" t="inlineStr">
        <is>
          <t>Direct Mobile - ONS</t>
        </is>
      </c>
      <c r="B54" s="2" t="inlineStr">
        <is>
          <t>Cost of Sales</t>
        </is>
      </c>
      <c r="C54" s="2" t="inlineStr">
        <is>
          <t>Onsite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>
      <c r="A55" s="5" t="inlineStr">
        <is>
          <t>Direct Mobile - PRD</t>
        </is>
      </c>
      <c r="B55" s="2" t="inlineStr">
        <is>
          <t>Cost of Sales</t>
        </is>
      </c>
      <c r="C55" s="2" t="inlineStr">
        <is>
          <t>Production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>
      <c r="A56" s="5" t="inlineStr">
        <is>
          <t>Direct Mobile - VID</t>
        </is>
      </c>
      <c r="B56" s="2" t="inlineStr">
        <is>
          <t>Cost of Sales</t>
        </is>
      </c>
      <c r="C56" s="2" t="inlineStr">
        <is>
          <t>Video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>
      <c r="A57" s="5" t="inlineStr">
        <is>
          <t>Direct Salaries - ADMIN</t>
        </is>
      </c>
      <c r="B57" s="2" t="inlineStr">
        <is>
          <t>Cost of Sales</t>
        </is>
      </c>
      <c r="C57" s="2" t="inlineStr">
        <is>
          <t>Admin</t>
        </is>
      </c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5" t="inlineStr">
        <is>
          <t>Direct Salaries - CONS</t>
        </is>
      </c>
      <c r="B58" s="2" t="inlineStr">
        <is>
          <t>Cost of Sales</t>
        </is>
      </c>
      <c r="C58" s="2" t="inlineStr">
        <is>
          <t>Consulting</t>
        </is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>
      <c r="A59" s="5" t="inlineStr">
        <is>
          <t>Direct Salaries - INTEGRATION</t>
        </is>
      </c>
      <c r="B59" s="2" t="inlineStr">
        <is>
          <t>Cost of Sales</t>
        </is>
      </c>
      <c r="C59" s="2" t="inlineStr">
        <is>
          <t>Integration</t>
        </is>
      </c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>
      <c r="A60" s="5" t="inlineStr">
        <is>
          <t>Direct Salaries - ONS</t>
        </is>
      </c>
      <c r="B60" s="2" t="inlineStr">
        <is>
          <t>Cost of Sales</t>
        </is>
      </c>
      <c r="C60" s="2" t="inlineStr">
        <is>
          <t>Onsite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5" t="inlineStr">
        <is>
          <t>Direct Salaries - PRD</t>
        </is>
      </c>
      <c r="B61" s="2" t="inlineStr">
        <is>
          <t>Cost of Sales</t>
        </is>
      </c>
      <c r="C61" s="2" t="inlineStr">
        <is>
          <t>Production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>
      <c r="A62" s="5" t="inlineStr">
        <is>
          <t>Direct Salaries - VID</t>
        </is>
      </c>
      <c r="B62" s="2" t="inlineStr">
        <is>
          <t>Cost of Sales</t>
        </is>
      </c>
      <c r="C62" s="2" t="inlineStr">
        <is>
          <t>Video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>
      <c r="A63" s="5" t="inlineStr">
        <is>
          <t>Direct Superannuation - ADMIN</t>
        </is>
      </c>
      <c r="B63" s="2" t="inlineStr">
        <is>
          <t>Cost of Sales</t>
        </is>
      </c>
      <c r="C63" s="2" t="inlineStr">
        <is>
          <t>Admin</t>
        </is>
      </c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>
      <c r="A64" s="5" t="inlineStr">
        <is>
          <t>Direct Superannuation - CONS</t>
        </is>
      </c>
      <c r="B64" s="2" t="inlineStr">
        <is>
          <t>Cost of Sales</t>
        </is>
      </c>
      <c r="C64" s="2" t="inlineStr">
        <is>
          <t>Consulting</t>
        </is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5" t="inlineStr">
        <is>
          <t>Direct Superannuation - ONS</t>
        </is>
      </c>
      <c r="B65" s="2" t="inlineStr">
        <is>
          <t>Cost of Sales</t>
        </is>
      </c>
      <c r="C65" s="2" t="inlineStr">
        <is>
          <t>Onsite</t>
        </is>
      </c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>
      <c r="A66" s="5" t="inlineStr">
        <is>
          <t>Direct Superannuation - PRD</t>
        </is>
      </c>
      <c r="B66" s="2" t="inlineStr">
        <is>
          <t>Cost of Sales</t>
        </is>
      </c>
      <c r="C66" s="2" t="inlineStr">
        <is>
          <t>Production</t>
        </is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>
      <c r="A67" s="5" t="inlineStr">
        <is>
          <t>Direct Superannuation - VID</t>
        </is>
      </c>
      <c r="B67" s="2" t="inlineStr">
        <is>
          <t>Cost of Sales</t>
        </is>
      </c>
      <c r="C67" s="2" t="inlineStr">
        <is>
          <t>Video</t>
        </is>
      </c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>
      <c r="A68" s="5" t="inlineStr">
        <is>
          <t>Direct Superannuation-INTEGRATION</t>
        </is>
      </c>
      <c r="B68" s="2" t="inlineStr">
        <is>
          <t>Cost of Sales</t>
        </is>
      </c>
      <c r="C68" s="2" t="inlineStr">
        <is>
          <t>Integration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5" t="inlineStr">
        <is>
          <t>Direct Travel - ADMIN</t>
        </is>
      </c>
      <c r="B69" s="2" t="inlineStr">
        <is>
          <t>Cost of Sales</t>
        </is>
      </c>
      <c r="C69" s="2" t="inlineStr">
        <is>
          <t>Admin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>
      <c r="A70" s="5" t="inlineStr">
        <is>
          <t>Direct Travel - CONS</t>
        </is>
      </c>
      <c r="B70" s="2" t="inlineStr">
        <is>
          <t>Cost of Sales</t>
        </is>
      </c>
      <c r="C70" s="2" t="inlineStr">
        <is>
          <t>Consulting</t>
        </is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>
      <c r="A71" s="5" t="inlineStr">
        <is>
          <t>Direct Travel - INTEGRATION</t>
        </is>
      </c>
      <c r="B71" s="2" t="inlineStr">
        <is>
          <t>Cost of Sales</t>
        </is>
      </c>
      <c r="C71" s="2" t="inlineStr">
        <is>
          <t>Integration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>
      <c r="A72" s="5" t="inlineStr">
        <is>
          <t>Direct Travel - ONS</t>
        </is>
      </c>
      <c r="B72" s="2" t="inlineStr">
        <is>
          <t>Cost of Sales</t>
        </is>
      </c>
      <c r="C72" s="2" t="inlineStr">
        <is>
          <t>Onsite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5" t="inlineStr">
        <is>
          <t>Direct Travel - PRD</t>
        </is>
      </c>
      <c r="B73" s="2" t="inlineStr">
        <is>
          <t>Cost of Sales</t>
        </is>
      </c>
      <c r="C73" s="2" t="inlineStr">
        <is>
          <t>Production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>
      <c r="A74" s="5" t="inlineStr">
        <is>
          <t>Direct Travel - VID</t>
        </is>
      </c>
      <c r="B74" s="2" t="inlineStr">
        <is>
          <t>Cost of Sales</t>
        </is>
      </c>
      <c r="C74" s="2" t="inlineStr">
        <is>
          <t>Video</t>
        </is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>
      <c r="A75" s="5" t="inlineStr">
        <is>
          <t>Direct Wages - CONS</t>
        </is>
      </c>
      <c r="B75" s="2" t="inlineStr">
        <is>
          <t>Cost of Sales</t>
        </is>
      </c>
      <c r="C75" s="2" t="inlineStr">
        <is>
          <t>Consulting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>
      <c r="A76" s="5" t="inlineStr">
        <is>
          <t>Direct Wages - INTEGRATION</t>
        </is>
      </c>
      <c r="B76" s="2" t="inlineStr">
        <is>
          <t>Cost of Sales</t>
        </is>
      </c>
      <c r="C76" s="2" t="inlineStr">
        <is>
          <t>Integration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5" t="inlineStr">
        <is>
          <t>Direct Wages - ONS</t>
        </is>
      </c>
      <c r="B77" s="2" t="inlineStr">
        <is>
          <t>Cost of Sales</t>
        </is>
      </c>
      <c r="C77" s="2" t="inlineStr">
        <is>
          <t>Onsite</t>
        </is>
      </c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5" t="inlineStr">
        <is>
          <t>Direct Wages - PRD</t>
        </is>
      </c>
      <c r="B78" s="2" t="inlineStr">
        <is>
          <t>Cost of Sales</t>
        </is>
      </c>
      <c r="C78" s="2" t="inlineStr">
        <is>
          <t>Production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>
      <c r="A79" s="5" t="inlineStr">
        <is>
          <t>Direct Wages - VID</t>
        </is>
      </c>
      <c r="B79" s="2" t="inlineStr">
        <is>
          <t>Cost of Sales</t>
        </is>
      </c>
      <c r="C79" s="2" t="inlineStr">
        <is>
          <t>Video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>
      <c r="A80" s="5" t="inlineStr">
        <is>
          <t>Direct Workers Comp - ADMIN</t>
        </is>
      </c>
      <c r="B80" s="2" t="inlineStr">
        <is>
          <t>Cost of Sales</t>
        </is>
      </c>
      <c r="C80" s="2" t="inlineStr">
        <is>
          <t>Admin</t>
        </is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>
      <c r="A81" s="5" t="inlineStr">
        <is>
          <t>Direct Workers Comp - CONS</t>
        </is>
      </c>
      <c r="B81" s="2" t="inlineStr">
        <is>
          <t>Cost of Sales</t>
        </is>
      </c>
      <c r="C81" s="2" t="inlineStr">
        <is>
          <t>Consulting</t>
        </is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>
      <c r="A82" s="5" t="inlineStr">
        <is>
          <t>Direct Workers Comp - INTEGRATION</t>
        </is>
      </c>
      <c r="B82" s="2" t="inlineStr">
        <is>
          <t>Cost of Sales</t>
        </is>
      </c>
      <c r="C82" s="2" t="inlineStr">
        <is>
          <t>Integration</t>
        </is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>
      <c r="A83" s="5" t="inlineStr">
        <is>
          <t>Direct Workers Comp - ONS</t>
        </is>
      </c>
      <c r="B83" s="2" t="inlineStr">
        <is>
          <t>Cost of Sales</t>
        </is>
      </c>
      <c r="C83" s="2" t="inlineStr">
        <is>
          <t>Onsite</t>
        </is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5" t="inlineStr">
        <is>
          <t>Direct Workers Comp - PRD</t>
        </is>
      </c>
      <c r="B84" s="2" t="inlineStr">
        <is>
          <t>Cost of Sales</t>
        </is>
      </c>
      <c r="C84" s="2" t="inlineStr">
        <is>
          <t>Production</t>
        </is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>
      <c r="A85" s="5" t="inlineStr">
        <is>
          <t>Direct Workers Comp - VID</t>
        </is>
      </c>
      <c r="B85" s="2" t="inlineStr">
        <is>
          <t>Cost of Sales</t>
        </is>
      </c>
      <c r="C85" s="2" t="inlineStr">
        <is>
          <t>Video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>
      <c r="A86" s="5" t="inlineStr">
        <is>
          <t>Discounts Given</t>
        </is>
      </c>
      <c r="B86" s="2" t="inlineStr">
        <is>
          <t>Cost of Sales</t>
        </is>
      </c>
      <c r="C86" s="2" t="inlineStr">
        <is>
          <t>Unallocated</t>
        </is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>
      <c r="A87" s="5" t="inlineStr">
        <is>
          <t>Equipment - Hires</t>
        </is>
      </c>
      <c r="B87" s="2" t="inlineStr">
        <is>
          <t>Cost of Sales</t>
        </is>
      </c>
      <c r="C87" s="2" t="inlineStr">
        <is>
          <t>Unallocated</t>
        </is>
      </c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>
      <c r="A88" s="5" t="inlineStr">
        <is>
          <t>Equipment - Purchase</t>
        </is>
      </c>
      <c r="B88" s="2" t="inlineStr">
        <is>
          <t>Cost of Sales</t>
        </is>
      </c>
      <c r="C88" s="2" t="inlineStr">
        <is>
          <t>Unallocated</t>
        </is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5" t="inlineStr">
        <is>
          <t>Equipment -Maintenance Support</t>
        </is>
      </c>
      <c r="B89" s="2" t="inlineStr">
        <is>
          <t>Cost of Sales</t>
        </is>
      </c>
      <c r="C89" s="2" t="inlineStr">
        <is>
          <t>Unallocated</t>
        </is>
      </c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>
      <c r="A90" s="5" t="inlineStr">
        <is>
          <t>Service - hires</t>
        </is>
      </c>
      <c r="B90" s="2" t="inlineStr">
        <is>
          <t>Cost of Sales</t>
        </is>
      </c>
      <c r="C90" s="2" t="inlineStr">
        <is>
          <t>Unallocated</t>
        </is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>
      <c r="A91" s="5" t="inlineStr">
        <is>
          <t>Stamp Duty</t>
        </is>
      </c>
      <c r="B91" s="2" t="inlineStr">
        <is>
          <t>Cost of Sales</t>
        </is>
      </c>
      <c r="C91" s="2" t="inlineStr">
        <is>
          <t>Unallocated</t>
        </is>
      </c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5" t="inlineStr">
        <is>
          <t>Sub-Contract Labour - ADMIN</t>
        </is>
      </c>
      <c r="B92" s="2" t="inlineStr">
        <is>
          <t>Cost of Sales</t>
        </is>
      </c>
      <c r="C92" s="2" t="inlineStr">
        <is>
          <t>Admin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5" t="inlineStr">
        <is>
          <t>Sub-Contract Labour - CONS</t>
        </is>
      </c>
      <c r="B93" s="2" t="inlineStr">
        <is>
          <t>Cost of Sales</t>
        </is>
      </c>
      <c r="C93" s="2" t="inlineStr">
        <is>
          <t>Consulting</t>
        </is>
      </c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>
      <c r="A94" s="5" t="inlineStr">
        <is>
          <t>Sub-Contract Labour - INTEGRATION</t>
        </is>
      </c>
      <c r="B94" s="2" t="inlineStr">
        <is>
          <t>Cost of Sales</t>
        </is>
      </c>
      <c r="C94" s="2" t="inlineStr">
        <is>
          <t>Integration</t>
        </is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>
      <c r="A95" s="5" t="inlineStr">
        <is>
          <t>Sub-Contract Labour - ONS</t>
        </is>
      </c>
      <c r="B95" s="2" t="inlineStr">
        <is>
          <t>Cost of Sales</t>
        </is>
      </c>
      <c r="C95" s="2" t="inlineStr">
        <is>
          <t>Onsite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5" t="inlineStr">
        <is>
          <t>Sub-Contract Labour - PRD</t>
        </is>
      </c>
      <c r="B96" s="2" t="inlineStr">
        <is>
          <t>Cost of Sales</t>
        </is>
      </c>
      <c r="C96" s="2" t="inlineStr">
        <is>
          <t>Production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5" t="inlineStr">
        <is>
          <t>Sub-Contract Labour - VID</t>
        </is>
      </c>
      <c r="B97" s="2" t="inlineStr">
        <is>
          <t>Cost of Sales</t>
        </is>
      </c>
      <c r="C97" s="2" t="inlineStr">
        <is>
          <t>Video</t>
        </is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5" t="inlineStr">
        <is>
          <t>Subscriptions &amp; Licences - Expense</t>
        </is>
      </c>
      <c r="B98" s="2" t="inlineStr">
        <is>
          <t>Cost of Sales</t>
        </is>
      </c>
      <c r="C98" s="2" t="inlineStr">
        <is>
          <t>Unallocated</t>
        </is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>
      <c r="A99" s="5" t="inlineStr">
        <is>
          <t>Supplier Per Diems - ADMIN</t>
        </is>
      </c>
      <c r="B99" s="2" t="inlineStr">
        <is>
          <t>Cost of Sales</t>
        </is>
      </c>
      <c r="C99" s="2" t="inlineStr">
        <is>
          <t>Admin</t>
        </is>
      </c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>
      <c r="A100" s="5" t="inlineStr">
        <is>
          <t>Supplier Per Diems - CONS</t>
        </is>
      </c>
      <c r="B100" s="2" t="inlineStr">
        <is>
          <t>Cost of Sales</t>
        </is>
      </c>
      <c r="C100" s="2" t="inlineStr">
        <is>
          <t>Consulting</t>
        </is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5" t="inlineStr">
        <is>
          <t>Supplier Per Diems - INTEGRATION</t>
        </is>
      </c>
      <c r="B101" s="2" t="inlineStr">
        <is>
          <t>Cost of Sales</t>
        </is>
      </c>
      <c r="C101" s="2" t="inlineStr">
        <is>
          <t>Integration</t>
        </is>
      </c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5" t="inlineStr">
        <is>
          <t>Supplier Per Diems - ONS</t>
        </is>
      </c>
      <c r="B102" s="2" t="inlineStr">
        <is>
          <t>Cost of Sales</t>
        </is>
      </c>
      <c r="C102" s="2" t="inlineStr">
        <is>
          <t>Onsite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>
      <c r="A103" s="5" t="inlineStr">
        <is>
          <t>Supplier Per Diems - PRD</t>
        </is>
      </c>
      <c r="B103" s="2" t="inlineStr">
        <is>
          <t>Cost of Sales</t>
        </is>
      </c>
      <c r="C103" s="2" t="inlineStr">
        <is>
          <t>Production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>
      <c r="A104" s="5" t="inlineStr">
        <is>
          <t>Supplier Per Diems - VID</t>
        </is>
      </c>
      <c r="B104" s="2" t="inlineStr">
        <is>
          <t>Cost of Sales</t>
        </is>
      </c>
      <c r="C104" s="2" t="inlineStr">
        <is>
          <t>Video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5" t="inlineStr">
        <is>
          <t>Cash Flow Boost</t>
        </is>
      </c>
      <c r="B105" s="2" t="inlineStr">
        <is>
          <t>Other Income</t>
        </is>
      </c>
      <c r="C105" s="2" t="inlineStr">
        <is>
          <t>Unallocated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5" t="inlineStr">
        <is>
          <t>Employee FBT Contribtution</t>
        </is>
      </c>
      <c r="B106" s="2" t="inlineStr">
        <is>
          <t>Other Income</t>
        </is>
      </c>
      <c r="C106" s="2" t="inlineStr">
        <is>
          <t>Unallocated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5" t="inlineStr">
        <is>
          <t>Gain on lease termination</t>
        </is>
      </c>
      <c r="B107" s="2" t="inlineStr">
        <is>
          <t>Other Income</t>
        </is>
      </c>
      <c r="C107" s="2" t="inlineStr">
        <is>
          <t>Unallocated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>
      <c r="A108" s="5" t="inlineStr">
        <is>
          <t>Income Other</t>
        </is>
      </c>
      <c r="B108" s="2" t="inlineStr">
        <is>
          <t>Other Income</t>
        </is>
      </c>
      <c r="C108" s="2" t="inlineStr">
        <is>
          <t>Unallocated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>
      <c r="A109" s="5" t="inlineStr">
        <is>
          <t>Interest Income</t>
        </is>
      </c>
      <c r="B109" s="2" t="inlineStr">
        <is>
          <t>Other Income</t>
        </is>
      </c>
      <c r="C109" s="2" t="inlineStr">
        <is>
          <t>Unallocated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5" t="inlineStr">
        <is>
          <t>Interest Received</t>
        </is>
      </c>
      <c r="B110" s="2" t="inlineStr">
        <is>
          <t>Other Income</t>
        </is>
      </c>
      <c r="C110" s="2" t="inlineStr">
        <is>
          <t>Unallocated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5" t="inlineStr">
        <is>
          <t>JobKeeper Subsidy</t>
        </is>
      </c>
      <c r="B111" s="2" t="inlineStr">
        <is>
          <t>Other Income</t>
        </is>
      </c>
      <c r="C111" s="2" t="inlineStr">
        <is>
          <t>Unallocated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5" t="inlineStr">
        <is>
          <t>JobSaver Subsidy</t>
        </is>
      </c>
      <c r="B112" s="2" t="inlineStr">
        <is>
          <t>Other Income</t>
        </is>
      </c>
      <c r="C112" s="2" t="inlineStr">
        <is>
          <t>Unallocated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5" t="inlineStr">
        <is>
          <t>Rental Income</t>
        </is>
      </c>
      <c r="B113" s="2" t="inlineStr">
        <is>
          <t>Other Income</t>
        </is>
      </c>
      <c r="C113" s="2" t="inlineStr">
        <is>
          <t>Unallocated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>
      <c r="A114" s="5" t="inlineStr">
        <is>
          <t>1300 Number</t>
        </is>
      </c>
      <c r="B114" s="2" t="inlineStr">
        <is>
          <t>Expenses</t>
        </is>
      </c>
      <c r="C114" s="2" t="inlineStr">
        <is>
          <t>Unallocated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>
      <c r="A115" s="5" t="inlineStr">
        <is>
          <t>Accounting Fees</t>
        </is>
      </c>
      <c r="B115" s="2" t="inlineStr">
        <is>
          <t>Expenses</t>
        </is>
      </c>
      <c r="C115" s="2" t="inlineStr">
        <is>
          <t>Unallocated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5" t="inlineStr">
        <is>
          <t>Advertising</t>
        </is>
      </c>
      <c r="B116" s="2" t="inlineStr">
        <is>
          <t>Expenses</t>
        </is>
      </c>
      <c r="C116" s="2" t="inlineStr">
        <is>
          <t>Unallocated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>
      <c r="A117" s="5" t="inlineStr">
        <is>
          <t>Bad Debts</t>
        </is>
      </c>
      <c r="B117" s="2" t="inlineStr">
        <is>
          <t>Expenses</t>
        </is>
      </c>
      <c r="C117" s="2" t="inlineStr">
        <is>
          <t>Unallocated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>
      <c r="A118" s="5" t="inlineStr">
        <is>
          <t>Bank Charges</t>
        </is>
      </c>
      <c r="B118" s="2" t="inlineStr">
        <is>
          <t>Expenses</t>
        </is>
      </c>
      <c r="C118" s="2" t="inlineStr">
        <is>
          <t>Unallocated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>
      <c r="A119" s="5" t="inlineStr">
        <is>
          <t>Bank Revaluations</t>
        </is>
      </c>
      <c r="B119" s="2" t="inlineStr">
        <is>
          <t>Expenses</t>
        </is>
      </c>
      <c r="C119" s="2" t="inlineStr">
        <is>
          <t>Unallocated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>
      <c r="A120" s="5" t="inlineStr">
        <is>
          <t>Business Advisory</t>
        </is>
      </c>
      <c r="B120" s="2" t="inlineStr">
        <is>
          <t>Expenses</t>
        </is>
      </c>
      <c r="C120" s="2" t="inlineStr">
        <is>
          <t>Unallocated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>
      <c r="A121" s="5" t="inlineStr">
        <is>
          <t>Business Combined</t>
        </is>
      </c>
      <c r="B121" s="2" t="inlineStr">
        <is>
          <t>Expenses</t>
        </is>
      </c>
      <c r="C121" s="2" t="inlineStr">
        <is>
          <t>Unallocated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>
      <c r="A122" s="5" t="inlineStr">
        <is>
          <t>Client Entertainment</t>
        </is>
      </c>
      <c r="B122" s="2" t="inlineStr">
        <is>
          <t>Expenses</t>
        </is>
      </c>
      <c r="C122" s="2" t="inlineStr">
        <is>
          <t>Unallocated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>
      <c r="A123" s="5" t="inlineStr">
        <is>
          <t>Credit Card Fees Paid</t>
        </is>
      </c>
      <c r="B123" s="2" t="inlineStr">
        <is>
          <t>Expenses</t>
        </is>
      </c>
      <c r="C123" s="2" t="inlineStr">
        <is>
          <t>Unallocated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>
      <c r="A124" s="5" t="inlineStr">
        <is>
          <t>Custodian Vaults</t>
        </is>
      </c>
      <c r="B124" s="2" t="inlineStr">
        <is>
          <t>Expenses</t>
        </is>
      </c>
      <c r="C124" s="2" t="inlineStr">
        <is>
          <t>Unallocated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>
      <c r="A125" s="5" t="inlineStr">
        <is>
          <t>Depreciation</t>
        </is>
      </c>
      <c r="B125" s="2" t="inlineStr">
        <is>
          <t>Expenses</t>
        </is>
      </c>
      <c r="C125" s="2" t="inlineStr">
        <is>
          <t>Unallocated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>
      <c r="A126" s="5" t="inlineStr">
        <is>
          <t>Depreciation - ROU</t>
        </is>
      </c>
      <c r="B126" s="2" t="inlineStr">
        <is>
          <t>Expenses</t>
        </is>
      </c>
      <c r="C126" s="2" t="inlineStr">
        <is>
          <t>Unallocated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>
      <c r="A127" s="5" t="inlineStr">
        <is>
          <t>Discounts Taken</t>
        </is>
      </c>
      <c r="B127" s="2" t="inlineStr">
        <is>
          <t>Expenses</t>
        </is>
      </c>
      <c r="C127" s="2" t="inlineStr">
        <is>
          <t>Unallocated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>
      <c r="A128" s="5" t="inlineStr">
        <is>
          <t>Disposal of fixed assets</t>
        </is>
      </c>
      <c r="B128" s="2" t="inlineStr">
        <is>
          <t>Expenses</t>
        </is>
      </c>
      <c r="C128" s="2" t="inlineStr">
        <is>
          <t>Unallocated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>
      <c r="A129" s="5" t="inlineStr">
        <is>
          <t>Dividend paid [93000]</t>
        </is>
      </c>
      <c r="B129" s="2" t="inlineStr">
        <is>
          <t>Expenses</t>
        </is>
      </c>
      <c r="C129" s="2" t="inlineStr">
        <is>
          <t>Unallocated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>
      <c r="A130" s="5" t="inlineStr">
        <is>
          <t>Donations / Charity</t>
        </is>
      </c>
      <c r="B130" s="2" t="inlineStr">
        <is>
          <t>Expenses</t>
        </is>
      </c>
      <c r="C130" s="2" t="inlineStr">
        <is>
          <t>Unallocated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>
      <c r="A131" s="5" t="inlineStr">
        <is>
          <t>Dues &amp; Subscriptions</t>
        </is>
      </c>
      <c r="B131" s="2" t="inlineStr">
        <is>
          <t>Expenses</t>
        </is>
      </c>
      <c r="C131" s="2" t="inlineStr">
        <is>
          <t>Unallocated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>
      <c r="A132" s="5" t="inlineStr">
        <is>
          <t>Electricity</t>
        </is>
      </c>
      <c r="B132" s="2" t="inlineStr">
        <is>
          <t>Expenses</t>
        </is>
      </c>
      <c r="C132" s="2" t="inlineStr">
        <is>
          <t>Unallocated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>
      <c r="A133" s="5" t="inlineStr">
        <is>
          <t>Fax</t>
        </is>
      </c>
      <c r="B133" s="2" t="inlineStr">
        <is>
          <t>Expenses</t>
        </is>
      </c>
      <c r="C133" s="2" t="inlineStr">
        <is>
          <t>Unallocated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>
      <c r="A134" s="5" t="inlineStr">
        <is>
          <t>Filing Fee</t>
        </is>
      </c>
      <c r="B134" s="2" t="inlineStr">
        <is>
          <t>Expenses</t>
        </is>
      </c>
      <c r="C134" s="2" t="inlineStr">
        <is>
          <t>Unallocated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>
      <c r="A135" s="5" t="inlineStr">
        <is>
          <t>Foreign Currency Translation*</t>
        </is>
      </c>
      <c r="B135" s="2" t="inlineStr">
        <is>
          <t>Expenses</t>
        </is>
      </c>
      <c r="C135" s="2" t="inlineStr">
        <is>
          <t>Unallocated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>
      <c r="A136" s="5" t="inlineStr">
        <is>
          <t>Freight Paid</t>
        </is>
      </c>
      <c r="B136" s="2" t="inlineStr">
        <is>
          <t>Expenses</t>
        </is>
      </c>
      <c r="C136" s="2" t="inlineStr">
        <is>
          <t>Unallocated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>
      <c r="A137" s="5" t="inlineStr">
        <is>
          <t>Fringe Benefits Tax</t>
        </is>
      </c>
      <c r="B137" s="2" t="inlineStr">
        <is>
          <t>Expenses</t>
        </is>
      </c>
      <c r="C137" s="2" t="inlineStr">
        <is>
          <t>Unallocated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>
      <c r="A138" s="5" t="inlineStr">
        <is>
          <t>IT Network Service &amp; Support</t>
        </is>
      </c>
      <c r="B138" s="2" t="inlineStr">
        <is>
          <t>Expenses</t>
        </is>
      </c>
      <c r="C138" s="2" t="inlineStr">
        <is>
          <t>Unallocated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>
      <c r="A139" s="5" t="inlineStr">
        <is>
          <t>Income Tax Expense</t>
        </is>
      </c>
      <c r="B139" s="2" t="inlineStr">
        <is>
          <t>Expenses</t>
        </is>
      </c>
      <c r="C139" s="2" t="inlineStr">
        <is>
          <t>Unallocated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>
      <c r="A140" s="5" t="inlineStr">
        <is>
          <t>Indirect Salaries - ADMIN</t>
        </is>
      </c>
      <c r="B140" s="2" t="inlineStr">
        <is>
          <t>Expenses</t>
        </is>
      </c>
      <c r="C140" s="2" t="inlineStr">
        <is>
          <t>Admin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>
      <c r="A141" s="5" t="inlineStr">
        <is>
          <t>Indirect Salaries - CONS</t>
        </is>
      </c>
      <c r="B141" s="2" t="inlineStr">
        <is>
          <t>Expenses</t>
        </is>
      </c>
      <c r="C141" s="2" t="inlineStr">
        <is>
          <t>Consulting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>
      <c r="A142" s="5" t="inlineStr">
        <is>
          <t>Indirect Salaries - INTEGRATION</t>
        </is>
      </c>
      <c r="B142" s="2" t="inlineStr">
        <is>
          <t>Expenses</t>
        </is>
      </c>
      <c r="C142" s="2" t="inlineStr">
        <is>
          <t>Integration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>
      <c r="A143" s="5" t="inlineStr">
        <is>
          <t>Indirect Salaries - ONS</t>
        </is>
      </c>
      <c r="B143" s="2" t="inlineStr">
        <is>
          <t>Expenses</t>
        </is>
      </c>
      <c r="C143" s="2" t="inlineStr">
        <is>
          <t>Onsite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>
      <c r="A144" s="5" t="inlineStr">
        <is>
          <t>Indirect Salaries - PRD</t>
        </is>
      </c>
      <c r="B144" s="2" t="inlineStr">
        <is>
          <t>Expenses</t>
        </is>
      </c>
      <c r="C144" s="2" t="inlineStr">
        <is>
          <t>Production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>
      <c r="A145" s="5" t="inlineStr">
        <is>
          <t>Indirect Salaries - VID</t>
        </is>
      </c>
      <c r="B145" s="2" t="inlineStr">
        <is>
          <t>Expenses</t>
        </is>
      </c>
      <c r="C145" s="2" t="inlineStr">
        <is>
          <t>Video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>
      <c r="A146" s="5" t="inlineStr">
        <is>
          <t>Indirect Wages - ADMIN</t>
        </is>
      </c>
      <c r="B146" s="2" t="inlineStr">
        <is>
          <t>Expenses</t>
        </is>
      </c>
      <c r="C146" s="2" t="inlineStr">
        <is>
          <t>Admin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>
      <c r="A147" s="5" t="inlineStr">
        <is>
          <t>Indirect Wages - CONS</t>
        </is>
      </c>
      <c r="B147" s="2" t="inlineStr">
        <is>
          <t>Expenses</t>
        </is>
      </c>
      <c r="C147" s="2" t="inlineStr">
        <is>
          <t>Consulting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>
      <c r="A148" s="5" t="inlineStr">
        <is>
          <t>Indirect Wages - INTEGRATION</t>
        </is>
      </c>
      <c r="B148" s="2" t="inlineStr">
        <is>
          <t>Expenses</t>
        </is>
      </c>
      <c r="C148" s="2" t="inlineStr">
        <is>
          <t>Integration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>
      <c r="A149" s="5" t="inlineStr">
        <is>
          <t>Indirect Wages - ONS</t>
        </is>
      </c>
      <c r="B149" s="2" t="inlineStr">
        <is>
          <t>Expenses</t>
        </is>
      </c>
      <c r="C149" s="2" t="inlineStr">
        <is>
          <t>Onsite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>
      <c r="A150" s="5" t="inlineStr">
        <is>
          <t>Indirect Wages - PRD</t>
        </is>
      </c>
      <c r="B150" s="2" t="inlineStr">
        <is>
          <t>Expenses</t>
        </is>
      </c>
      <c r="C150" s="2" t="inlineStr">
        <is>
          <t>Production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>
      <c r="A151" s="5" t="inlineStr">
        <is>
          <t>Indirect Wages - VID</t>
        </is>
      </c>
      <c r="B151" s="2" t="inlineStr">
        <is>
          <t>Expenses</t>
        </is>
      </c>
      <c r="C151" s="2" t="inlineStr">
        <is>
          <t>Video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>
      <c r="A152" s="5" t="inlineStr">
        <is>
          <t>Instant Asset Write Off</t>
        </is>
      </c>
      <c r="B152" s="2" t="inlineStr">
        <is>
          <t>Expenses</t>
        </is>
      </c>
      <c r="C152" s="2" t="inlineStr">
        <is>
          <t>Unallocated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>
      <c r="A153" s="5" t="inlineStr">
        <is>
          <t>Insurance</t>
        </is>
      </c>
      <c r="B153" s="2" t="inlineStr">
        <is>
          <t>Expenses</t>
        </is>
      </c>
      <c r="C153" s="2" t="inlineStr">
        <is>
          <t>Unallocated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>
      <c r="A154" s="5" t="inlineStr">
        <is>
          <t>Interest Expense</t>
        </is>
      </c>
      <c r="B154" s="2" t="inlineStr">
        <is>
          <t>Expenses</t>
        </is>
      </c>
      <c r="C154" s="2" t="inlineStr">
        <is>
          <t>Unallocated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>
      <c r="A155" s="5" t="inlineStr">
        <is>
          <t>Internet</t>
        </is>
      </c>
      <c r="B155" s="2" t="inlineStr">
        <is>
          <t>Expenses</t>
        </is>
      </c>
      <c r="C155" s="2" t="inlineStr">
        <is>
          <t>Unallocated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>
      <c r="A156" s="5" t="inlineStr">
        <is>
          <t>Leave expense (Annual)</t>
        </is>
      </c>
      <c r="B156" s="2" t="inlineStr">
        <is>
          <t>Expenses</t>
        </is>
      </c>
      <c r="C156" s="2" t="inlineStr">
        <is>
          <t>Unallocated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>
      <c r="A157" s="5" t="inlineStr">
        <is>
          <t>Leave expense (Long Service)</t>
        </is>
      </c>
      <c r="B157" s="2" t="inlineStr">
        <is>
          <t>Expenses</t>
        </is>
      </c>
      <c r="C157" s="2" t="inlineStr">
        <is>
          <t>Unallocated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>
      <c r="A158" s="5" t="inlineStr">
        <is>
          <t>Legal Fees</t>
        </is>
      </c>
      <c r="B158" s="2" t="inlineStr">
        <is>
          <t>Expenses</t>
        </is>
      </c>
      <c r="C158" s="2" t="inlineStr">
        <is>
          <t>Unallocated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>
      <c r="A159" s="5" t="inlineStr">
        <is>
          <t>Mobile Phones</t>
        </is>
      </c>
      <c r="B159" s="2" t="inlineStr">
        <is>
          <t>Expenses</t>
        </is>
      </c>
      <c r="C159" s="2" t="inlineStr">
        <is>
          <t>Unallocated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>
      <c r="A160" s="5" t="inlineStr">
        <is>
          <t>Office Cleaning</t>
        </is>
      </c>
      <c r="B160" s="2" t="inlineStr">
        <is>
          <t>Expenses</t>
        </is>
      </c>
      <c r="C160" s="2" t="inlineStr">
        <is>
          <t>Unallocated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>
      <c r="A161" s="5" t="inlineStr">
        <is>
          <t>Office Phones</t>
        </is>
      </c>
      <c r="B161" s="2" t="inlineStr">
        <is>
          <t>Expenses</t>
        </is>
      </c>
      <c r="C161" s="2" t="inlineStr">
        <is>
          <t>Unallocated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>
      <c r="A162" s="5" t="inlineStr">
        <is>
          <t>Office Rentals</t>
        </is>
      </c>
      <c r="B162" s="2" t="inlineStr">
        <is>
          <t>Expenses</t>
        </is>
      </c>
      <c r="C162" s="2" t="inlineStr">
        <is>
          <t>Unallocated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>
      <c r="A163" s="5" t="inlineStr">
        <is>
          <t>Office Supplies</t>
        </is>
      </c>
      <c r="B163" s="2" t="inlineStr">
        <is>
          <t>Expenses</t>
        </is>
      </c>
      <c r="C163" s="2" t="inlineStr">
        <is>
          <t>Unallocated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>
      <c r="A164" s="5" t="inlineStr">
        <is>
          <t>Office Supplies [61500]</t>
        </is>
      </c>
      <c r="B164" s="2" t="inlineStr">
        <is>
          <t>Expenses</t>
        </is>
      </c>
      <c r="C164" s="2" t="inlineStr">
        <is>
          <t>Unallocated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>
      <c r="A165" s="5" t="inlineStr">
        <is>
          <t>Other Expenses [64900]</t>
        </is>
      </c>
      <c r="B165" s="2" t="inlineStr">
        <is>
          <t>Expenses</t>
        </is>
      </c>
      <c r="C165" s="2" t="inlineStr">
        <is>
          <t>Unallocated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>
      <c r="A166" s="5" t="inlineStr">
        <is>
          <t>Other Insurance</t>
        </is>
      </c>
      <c r="B166" s="2" t="inlineStr">
        <is>
          <t>Expenses</t>
        </is>
      </c>
      <c r="C166" s="2" t="inlineStr">
        <is>
          <t>Unallocated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>
      <c r="A167" s="5" t="inlineStr">
        <is>
          <t>Other Telco Expenses</t>
        </is>
      </c>
      <c r="B167" s="2" t="inlineStr">
        <is>
          <t>Expenses</t>
        </is>
      </c>
      <c r="C167" s="2" t="inlineStr">
        <is>
          <t>Unallocated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>
      <c r="A168" s="5" t="inlineStr">
        <is>
          <t>Pager</t>
        </is>
      </c>
      <c r="B168" s="2" t="inlineStr">
        <is>
          <t>Expenses</t>
        </is>
      </c>
      <c r="C168" s="2" t="inlineStr">
        <is>
          <t>Unallocated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>
      <c r="A169" s="5" t="inlineStr">
        <is>
          <t>Payroll Processing Fee</t>
        </is>
      </c>
      <c r="B169" s="2" t="inlineStr">
        <is>
          <t>Expenses</t>
        </is>
      </c>
      <c r="C169" s="2" t="inlineStr">
        <is>
          <t>Unallocated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>
      <c r="A170" s="5" t="inlineStr">
        <is>
          <t>Payroll Tax</t>
        </is>
      </c>
      <c r="B170" s="2" t="inlineStr">
        <is>
          <t>Expenses</t>
        </is>
      </c>
      <c r="C170" s="2" t="inlineStr">
        <is>
          <t>Unallocated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>
      <c r="A171" s="5" t="inlineStr">
        <is>
          <t>Postage</t>
        </is>
      </c>
      <c r="B171" s="2" t="inlineStr">
        <is>
          <t>Expenses</t>
        </is>
      </c>
      <c r="C171" s="2" t="inlineStr">
        <is>
          <t>Unallocated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>
      <c r="A172" s="5" t="inlineStr">
        <is>
          <t>Printing</t>
        </is>
      </c>
      <c r="B172" s="2" t="inlineStr">
        <is>
          <t>Expenses</t>
        </is>
      </c>
      <c r="C172" s="2" t="inlineStr">
        <is>
          <t>Unallocated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>
      <c r="A173" s="5" t="inlineStr">
        <is>
          <t>Professional Indemnity</t>
        </is>
      </c>
      <c r="B173" s="2" t="inlineStr">
        <is>
          <t>Expenses</t>
        </is>
      </c>
      <c r="C173" s="2" t="inlineStr">
        <is>
          <t>Unallocated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>
      <c r="A174" s="5" t="inlineStr">
        <is>
          <t>Realised Currency Gains</t>
        </is>
      </c>
      <c r="B174" s="2" t="inlineStr">
        <is>
          <t>Expenses</t>
        </is>
      </c>
      <c r="C174" s="2" t="inlineStr">
        <is>
          <t>Unallocated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>
      <c r="A175" s="5" t="inlineStr">
        <is>
          <t>Recruitment</t>
        </is>
      </c>
      <c r="B175" s="2" t="inlineStr">
        <is>
          <t>Expenses</t>
        </is>
      </c>
      <c r="C175" s="2" t="inlineStr">
        <is>
          <t>Unallocated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>
      <c r="A176" s="5" t="inlineStr">
        <is>
          <t>Rent</t>
        </is>
      </c>
      <c r="B176" s="2" t="inlineStr">
        <is>
          <t>Expenses</t>
        </is>
      </c>
      <c r="C176" s="2" t="inlineStr">
        <is>
          <t>Unallocated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>
      <c r="A177" s="5" t="inlineStr">
        <is>
          <t>Rental Outgoings</t>
        </is>
      </c>
      <c r="B177" s="2" t="inlineStr">
        <is>
          <t>Expenses</t>
        </is>
      </c>
      <c r="C177" s="2" t="inlineStr">
        <is>
          <t>Unallocated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>
      <c r="A178" s="5" t="inlineStr">
        <is>
          <t>Repairs &amp; Maintenance</t>
        </is>
      </c>
      <c r="B178" s="2" t="inlineStr">
        <is>
          <t>Expenses</t>
        </is>
      </c>
      <c r="C178" s="2" t="inlineStr">
        <is>
          <t>Unallocated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>
      <c r="A179" s="5" t="inlineStr">
        <is>
          <t>Replacements</t>
        </is>
      </c>
      <c r="B179" s="2" t="inlineStr">
        <is>
          <t>Expenses</t>
        </is>
      </c>
      <c r="C179" s="2" t="inlineStr">
        <is>
          <t>Unallocated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>
      <c r="A180" s="5" t="inlineStr">
        <is>
          <t>SGC Penalties</t>
        </is>
      </c>
      <c r="B180" s="2" t="inlineStr">
        <is>
          <t>Expenses</t>
        </is>
      </c>
      <c r="C180" s="2" t="inlineStr">
        <is>
          <t>Unallocated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>
      <c r="A181" s="5" t="inlineStr">
        <is>
          <t>Staff Amenities</t>
        </is>
      </c>
      <c r="B181" s="2" t="inlineStr">
        <is>
          <t>Expenses</t>
        </is>
      </c>
      <c r="C181" s="2" t="inlineStr">
        <is>
          <t>Unallocated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>
      <c r="A182" s="5" t="inlineStr">
        <is>
          <t>Staff Entertainment</t>
        </is>
      </c>
      <c r="B182" s="2" t="inlineStr">
        <is>
          <t>Expenses</t>
        </is>
      </c>
      <c r="C182" s="2" t="inlineStr">
        <is>
          <t>Unallocated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>
      <c r="A183" s="5" t="inlineStr">
        <is>
          <t>Stamp Duty (Indirect)</t>
        </is>
      </c>
      <c r="B183" s="2" t="inlineStr">
        <is>
          <t>Expenses</t>
        </is>
      </c>
      <c r="C183" s="2" t="inlineStr">
        <is>
          <t>Unallocated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>
      <c r="A184" s="5" t="inlineStr">
        <is>
          <t>Storage Fees</t>
        </is>
      </c>
      <c r="B184" s="2" t="inlineStr">
        <is>
          <t>Expenses</t>
        </is>
      </c>
      <c r="C184" s="2" t="inlineStr">
        <is>
          <t>Unallocated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>
      <c r="A185" s="5" t="inlineStr">
        <is>
          <t>Stripe Fees</t>
        </is>
      </c>
      <c r="B185" s="2" t="inlineStr">
        <is>
          <t>Expenses</t>
        </is>
      </c>
      <c r="C185" s="2" t="inlineStr">
        <is>
          <t>Unallocated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>
      <c r="A186" s="5" t="inlineStr">
        <is>
          <t>Superannuation</t>
        </is>
      </c>
      <c r="B186" s="2" t="inlineStr">
        <is>
          <t>Expenses</t>
        </is>
      </c>
      <c r="C186" s="2" t="inlineStr">
        <is>
          <t>Unallocated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>
      <c r="A187" s="5" t="inlineStr">
        <is>
          <t>Taxis/Parking</t>
        </is>
      </c>
      <c r="B187" s="2" t="inlineStr">
        <is>
          <t>Expenses</t>
        </is>
      </c>
      <c r="C187" s="2" t="inlineStr">
        <is>
          <t>Unallocated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>
      <c r="A188" s="5" t="inlineStr">
        <is>
          <t>Training Material &amp; Courses</t>
        </is>
      </c>
      <c r="B188" s="2" t="inlineStr">
        <is>
          <t>Expenses</t>
        </is>
      </c>
      <c r="C188" s="2" t="inlineStr">
        <is>
          <t>Unallocated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>
      <c r="A189" s="5" t="inlineStr">
        <is>
          <t>Travel &amp; Per Diems</t>
        </is>
      </c>
      <c r="B189" s="2" t="inlineStr">
        <is>
          <t>Expenses</t>
        </is>
      </c>
      <c r="C189" s="2" t="inlineStr">
        <is>
          <t>Unallocated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>
      <c r="A190" s="5" t="inlineStr">
        <is>
          <t>Travel Insurance</t>
        </is>
      </c>
      <c r="B190" s="2" t="inlineStr">
        <is>
          <t>Expenses</t>
        </is>
      </c>
      <c r="C190" s="2" t="inlineStr">
        <is>
          <t>Unallocated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>
      <c r="A191" s="5" t="inlineStr">
        <is>
          <t>Under/(Over) provision for tax</t>
        </is>
      </c>
      <c r="B191" s="2" t="inlineStr">
        <is>
          <t>Expenses</t>
        </is>
      </c>
      <c r="C191" s="2" t="inlineStr">
        <is>
          <t>Unallocated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>
      <c r="A192" s="5" t="inlineStr">
        <is>
          <t>Unrealised Currency Gains</t>
        </is>
      </c>
      <c r="B192" s="2" t="inlineStr">
        <is>
          <t>Expenses</t>
        </is>
      </c>
      <c r="C192" s="2" t="inlineStr">
        <is>
          <t>Unallocated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>
      <c r="A193" s="5" t="inlineStr">
        <is>
          <t>Workers' Compensation</t>
        </is>
      </c>
      <c r="B193" s="2" t="inlineStr">
        <is>
          <t>Expenses</t>
        </is>
      </c>
      <c r="C193" s="2" t="inlineStr">
        <is>
          <t>Unallocated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</sheetData>
  <autoFilter ref="A3:AA1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This Year: FY27 Profit &amp; Loss</t>
        </is>
      </c>
    </row>
    <row r="2">
      <c r="A2" s="2" t="inlineStr">
        <is>
          <t>Calculated from the Actuals sheet. Do not type here.</t>
        </is>
      </c>
    </row>
    <row r="3" ht="28" customHeight="1">
      <c r="A3" s="3" t="inlineStr">
        <is>
          <t>Account</t>
        </is>
      </c>
      <c r="B3" s="4" t="inlineStr">
        <is>
          <t>Jul-26</t>
        </is>
      </c>
      <c r="C3" s="4" t="inlineStr">
        <is>
          <t>Aug-26</t>
        </is>
      </c>
      <c r="D3" s="4" t="inlineStr">
        <is>
          <t>Sep-26</t>
        </is>
      </c>
      <c r="E3" s="4" t="inlineStr">
        <is>
          <t>Oct-26</t>
        </is>
      </c>
      <c r="F3" s="4" t="inlineStr">
        <is>
          <t>Nov-26</t>
        </is>
      </c>
      <c r="G3" s="4" t="inlineStr">
        <is>
          <t>Dec-26</t>
        </is>
      </c>
      <c r="H3" s="4" t="inlineStr">
        <is>
          <t>Jan-27</t>
        </is>
      </c>
      <c r="I3" s="4" t="inlineStr">
        <is>
          <t>Feb-27</t>
        </is>
      </c>
      <c r="J3" s="4" t="inlineStr">
        <is>
          <t>Mar-27</t>
        </is>
      </c>
      <c r="K3" s="4" t="inlineStr">
        <is>
          <t>Apr-27</t>
        </is>
      </c>
      <c r="L3" s="4" t="inlineStr">
        <is>
          <t>May-27</t>
        </is>
      </c>
      <c r="M3" s="4" t="inlineStr">
        <is>
          <t>Jun-27</t>
        </is>
      </c>
      <c r="N3" s="4" t="inlineStr">
        <is>
          <t>FY27 Total</t>
        </is>
      </c>
    </row>
    <row r="4">
      <c r="A4" s="7" t="inlineStr">
        <is>
          <t>INCOME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5" t="inlineStr">
        <is>
          <t>Ad Hoc Service Labour</t>
        </is>
      </c>
      <c r="B5" s="9">
        <f>SUMIFS(Actuals!$P:$P,Actuals!$A:$A,$A5)</f>
        <v/>
      </c>
      <c r="C5" s="9">
        <f>SUMIFS(Actuals!$Q:$Q,Actuals!$A:$A,$A5)</f>
        <v/>
      </c>
      <c r="D5" s="9">
        <f>SUMIFS(Actuals!$R:$R,Actuals!$A:$A,$A5)</f>
        <v/>
      </c>
      <c r="E5" s="9">
        <f>SUMIFS(Actuals!$S:$S,Actuals!$A:$A,$A5)</f>
        <v/>
      </c>
      <c r="F5" s="9">
        <f>SUMIFS(Actuals!$T:$T,Actuals!$A:$A,$A5)</f>
        <v/>
      </c>
      <c r="G5" s="9">
        <f>SUMIFS(Actuals!$U:$U,Actuals!$A:$A,$A5)</f>
        <v/>
      </c>
      <c r="H5" s="9">
        <f>SUMIFS(Actuals!$V:$V,Actuals!$A:$A,$A5)</f>
        <v/>
      </c>
      <c r="I5" s="9">
        <f>SUMIFS(Actuals!$W:$W,Actuals!$A:$A,$A5)</f>
        <v/>
      </c>
      <c r="J5" s="9">
        <f>SUMIFS(Actuals!$X:$X,Actuals!$A:$A,$A5)</f>
        <v/>
      </c>
      <c r="K5" s="9">
        <f>SUMIFS(Actuals!$Y:$Y,Actuals!$A:$A,$A5)</f>
        <v/>
      </c>
      <c r="L5" s="9">
        <f>SUMIFS(Actuals!$Z:$Z,Actuals!$A:$A,$A5)</f>
        <v/>
      </c>
      <c r="M5" s="9">
        <f>SUMIFS(Actuals!$AA:$AA,Actuals!$A:$A,$A5)</f>
        <v/>
      </c>
      <c r="N5" s="10">
        <f>SUM(B5:M5)</f>
        <v/>
      </c>
    </row>
    <row r="6">
      <c r="A6" s="5" t="inlineStr">
        <is>
          <t>Closing Work in Progress</t>
        </is>
      </c>
      <c r="B6" s="9">
        <f>SUMIFS(Actuals!$P:$P,Actuals!$A:$A,$A6)</f>
        <v/>
      </c>
      <c r="C6" s="9">
        <f>SUMIFS(Actuals!$Q:$Q,Actuals!$A:$A,$A6)</f>
        <v/>
      </c>
      <c r="D6" s="9">
        <f>SUMIFS(Actuals!$R:$R,Actuals!$A:$A,$A6)</f>
        <v/>
      </c>
      <c r="E6" s="9">
        <f>SUMIFS(Actuals!$S:$S,Actuals!$A:$A,$A6)</f>
        <v/>
      </c>
      <c r="F6" s="9">
        <f>SUMIFS(Actuals!$T:$T,Actuals!$A:$A,$A6)</f>
        <v/>
      </c>
      <c r="G6" s="9">
        <f>SUMIFS(Actuals!$U:$U,Actuals!$A:$A,$A6)</f>
        <v/>
      </c>
      <c r="H6" s="9">
        <f>SUMIFS(Actuals!$V:$V,Actuals!$A:$A,$A6)</f>
        <v/>
      </c>
      <c r="I6" s="9">
        <f>SUMIFS(Actuals!$W:$W,Actuals!$A:$A,$A6)</f>
        <v/>
      </c>
      <c r="J6" s="9">
        <f>SUMIFS(Actuals!$X:$X,Actuals!$A:$A,$A6)</f>
        <v/>
      </c>
      <c r="K6" s="9">
        <f>SUMIFS(Actuals!$Y:$Y,Actuals!$A:$A,$A6)</f>
        <v/>
      </c>
      <c r="L6" s="9">
        <f>SUMIFS(Actuals!$Z:$Z,Actuals!$A:$A,$A6)</f>
        <v/>
      </c>
      <c r="M6" s="9">
        <f>SUMIFS(Actuals!$AA:$AA,Actuals!$A:$A,$A6)</f>
        <v/>
      </c>
      <c r="N6" s="10">
        <f>SUM(B6:M6)</f>
        <v/>
      </c>
    </row>
    <row r="7">
      <c r="A7" s="5" t="inlineStr">
        <is>
          <t>Conference Call Charge</t>
        </is>
      </c>
      <c r="B7" s="9">
        <f>SUMIFS(Actuals!$P:$P,Actuals!$A:$A,$A7)</f>
        <v/>
      </c>
      <c r="C7" s="9">
        <f>SUMIFS(Actuals!$Q:$Q,Actuals!$A:$A,$A7)</f>
        <v/>
      </c>
      <c r="D7" s="9">
        <f>SUMIFS(Actuals!$R:$R,Actuals!$A:$A,$A7)</f>
        <v/>
      </c>
      <c r="E7" s="9">
        <f>SUMIFS(Actuals!$S:$S,Actuals!$A:$A,$A7)</f>
        <v/>
      </c>
      <c r="F7" s="9">
        <f>SUMIFS(Actuals!$T:$T,Actuals!$A:$A,$A7)</f>
        <v/>
      </c>
      <c r="G7" s="9">
        <f>SUMIFS(Actuals!$U:$U,Actuals!$A:$A,$A7)</f>
        <v/>
      </c>
      <c r="H7" s="9">
        <f>SUMIFS(Actuals!$V:$V,Actuals!$A:$A,$A7)</f>
        <v/>
      </c>
      <c r="I7" s="9">
        <f>SUMIFS(Actuals!$W:$W,Actuals!$A:$A,$A7)</f>
        <v/>
      </c>
      <c r="J7" s="9">
        <f>SUMIFS(Actuals!$X:$X,Actuals!$A:$A,$A7)</f>
        <v/>
      </c>
      <c r="K7" s="9">
        <f>SUMIFS(Actuals!$Y:$Y,Actuals!$A:$A,$A7)</f>
        <v/>
      </c>
      <c r="L7" s="9">
        <f>SUMIFS(Actuals!$Z:$Z,Actuals!$A:$A,$A7)</f>
        <v/>
      </c>
      <c r="M7" s="9">
        <f>SUMIFS(Actuals!$AA:$AA,Actuals!$A:$A,$A7)</f>
        <v/>
      </c>
      <c r="N7" s="10">
        <f>SUM(B7:M7)</f>
        <v/>
      </c>
    </row>
    <row r="8">
      <c r="A8" s="5" t="inlineStr">
        <is>
          <t>Contract Help Desk</t>
        </is>
      </c>
      <c r="B8" s="9">
        <f>SUMIFS(Actuals!$P:$P,Actuals!$A:$A,$A8)</f>
        <v/>
      </c>
      <c r="C8" s="9">
        <f>SUMIFS(Actuals!$Q:$Q,Actuals!$A:$A,$A8)</f>
        <v/>
      </c>
      <c r="D8" s="9">
        <f>SUMIFS(Actuals!$R:$R,Actuals!$A:$A,$A8)</f>
        <v/>
      </c>
      <c r="E8" s="9">
        <f>SUMIFS(Actuals!$S:$S,Actuals!$A:$A,$A8)</f>
        <v/>
      </c>
      <c r="F8" s="9">
        <f>SUMIFS(Actuals!$T:$T,Actuals!$A:$A,$A8)</f>
        <v/>
      </c>
      <c r="G8" s="9">
        <f>SUMIFS(Actuals!$U:$U,Actuals!$A:$A,$A8)</f>
        <v/>
      </c>
      <c r="H8" s="9">
        <f>SUMIFS(Actuals!$V:$V,Actuals!$A:$A,$A8)</f>
        <v/>
      </c>
      <c r="I8" s="9">
        <f>SUMIFS(Actuals!$W:$W,Actuals!$A:$A,$A8)</f>
        <v/>
      </c>
      <c r="J8" s="9">
        <f>SUMIFS(Actuals!$X:$X,Actuals!$A:$A,$A8)</f>
        <v/>
      </c>
      <c r="K8" s="9">
        <f>SUMIFS(Actuals!$Y:$Y,Actuals!$A:$A,$A8)</f>
        <v/>
      </c>
      <c r="L8" s="9">
        <f>SUMIFS(Actuals!$Z:$Z,Actuals!$A:$A,$A8)</f>
        <v/>
      </c>
      <c r="M8" s="9">
        <f>SUMIFS(Actuals!$AA:$AA,Actuals!$A:$A,$A8)</f>
        <v/>
      </c>
      <c r="N8" s="10">
        <f>SUM(B8:M8)</f>
        <v/>
      </c>
    </row>
    <row r="9">
      <c r="A9" s="5" t="inlineStr">
        <is>
          <t>Contract Maintenance</t>
        </is>
      </c>
      <c r="B9" s="9">
        <f>SUMIFS(Actuals!$P:$P,Actuals!$A:$A,$A9)</f>
        <v/>
      </c>
      <c r="C9" s="9">
        <f>SUMIFS(Actuals!$Q:$Q,Actuals!$A:$A,$A9)</f>
        <v/>
      </c>
      <c r="D9" s="9">
        <f>SUMIFS(Actuals!$R:$R,Actuals!$A:$A,$A9)</f>
        <v/>
      </c>
      <c r="E9" s="9">
        <f>SUMIFS(Actuals!$S:$S,Actuals!$A:$A,$A9)</f>
        <v/>
      </c>
      <c r="F9" s="9">
        <f>SUMIFS(Actuals!$T:$T,Actuals!$A:$A,$A9)</f>
        <v/>
      </c>
      <c r="G9" s="9">
        <f>SUMIFS(Actuals!$U:$U,Actuals!$A:$A,$A9)</f>
        <v/>
      </c>
      <c r="H9" s="9">
        <f>SUMIFS(Actuals!$V:$V,Actuals!$A:$A,$A9)</f>
        <v/>
      </c>
      <c r="I9" s="9">
        <f>SUMIFS(Actuals!$W:$W,Actuals!$A:$A,$A9)</f>
        <v/>
      </c>
      <c r="J9" s="9">
        <f>SUMIFS(Actuals!$X:$X,Actuals!$A:$A,$A9)</f>
        <v/>
      </c>
      <c r="K9" s="9">
        <f>SUMIFS(Actuals!$Y:$Y,Actuals!$A:$A,$A9)</f>
        <v/>
      </c>
      <c r="L9" s="9">
        <f>SUMIFS(Actuals!$Z:$Z,Actuals!$A:$A,$A9)</f>
        <v/>
      </c>
      <c r="M9" s="9">
        <f>SUMIFS(Actuals!$AA:$AA,Actuals!$A:$A,$A9)</f>
        <v/>
      </c>
      <c r="N9" s="10">
        <f>SUM(B9:M9)</f>
        <v/>
      </c>
    </row>
    <row r="10">
      <c r="A10" s="5" t="inlineStr">
        <is>
          <t>Contract Support Staff</t>
        </is>
      </c>
      <c r="B10" s="9">
        <f>SUMIFS(Actuals!$P:$P,Actuals!$A:$A,$A10)</f>
        <v/>
      </c>
      <c r="C10" s="9">
        <f>SUMIFS(Actuals!$Q:$Q,Actuals!$A:$A,$A10)</f>
        <v/>
      </c>
      <c r="D10" s="9">
        <f>SUMIFS(Actuals!$R:$R,Actuals!$A:$A,$A10)</f>
        <v/>
      </c>
      <c r="E10" s="9">
        <f>SUMIFS(Actuals!$S:$S,Actuals!$A:$A,$A10)</f>
        <v/>
      </c>
      <c r="F10" s="9">
        <f>SUMIFS(Actuals!$T:$T,Actuals!$A:$A,$A10)</f>
        <v/>
      </c>
      <c r="G10" s="9">
        <f>SUMIFS(Actuals!$U:$U,Actuals!$A:$A,$A10)</f>
        <v/>
      </c>
      <c r="H10" s="9">
        <f>SUMIFS(Actuals!$V:$V,Actuals!$A:$A,$A10)</f>
        <v/>
      </c>
      <c r="I10" s="9">
        <f>SUMIFS(Actuals!$W:$W,Actuals!$A:$A,$A10)</f>
        <v/>
      </c>
      <c r="J10" s="9">
        <f>SUMIFS(Actuals!$X:$X,Actuals!$A:$A,$A10)</f>
        <v/>
      </c>
      <c r="K10" s="9">
        <f>SUMIFS(Actuals!$Y:$Y,Actuals!$A:$A,$A10)</f>
        <v/>
      </c>
      <c r="L10" s="9">
        <f>SUMIFS(Actuals!$Z:$Z,Actuals!$A:$A,$A10)</f>
        <v/>
      </c>
      <c r="M10" s="9">
        <f>SUMIFS(Actuals!$AA:$AA,Actuals!$A:$A,$A10)</f>
        <v/>
      </c>
      <c r="N10" s="10">
        <f>SUM(B10:M10)</f>
        <v/>
      </c>
    </row>
    <row r="11">
      <c r="A11" s="5" t="inlineStr">
        <is>
          <t>Credit Card Collected - CONS</t>
        </is>
      </c>
      <c r="B11" s="9">
        <f>SUMIFS(Actuals!$P:$P,Actuals!$A:$A,$A11)</f>
        <v/>
      </c>
      <c r="C11" s="9">
        <f>SUMIFS(Actuals!$Q:$Q,Actuals!$A:$A,$A11)</f>
        <v/>
      </c>
      <c r="D11" s="9">
        <f>SUMIFS(Actuals!$R:$R,Actuals!$A:$A,$A11)</f>
        <v/>
      </c>
      <c r="E11" s="9">
        <f>SUMIFS(Actuals!$S:$S,Actuals!$A:$A,$A11)</f>
        <v/>
      </c>
      <c r="F11" s="9">
        <f>SUMIFS(Actuals!$T:$T,Actuals!$A:$A,$A11)</f>
        <v/>
      </c>
      <c r="G11" s="9">
        <f>SUMIFS(Actuals!$U:$U,Actuals!$A:$A,$A11)</f>
        <v/>
      </c>
      <c r="H11" s="9">
        <f>SUMIFS(Actuals!$V:$V,Actuals!$A:$A,$A11)</f>
        <v/>
      </c>
      <c r="I11" s="9">
        <f>SUMIFS(Actuals!$W:$W,Actuals!$A:$A,$A11)</f>
        <v/>
      </c>
      <c r="J11" s="9">
        <f>SUMIFS(Actuals!$X:$X,Actuals!$A:$A,$A11)</f>
        <v/>
      </c>
      <c r="K11" s="9">
        <f>SUMIFS(Actuals!$Y:$Y,Actuals!$A:$A,$A11)</f>
        <v/>
      </c>
      <c r="L11" s="9">
        <f>SUMIFS(Actuals!$Z:$Z,Actuals!$A:$A,$A11)</f>
        <v/>
      </c>
      <c r="M11" s="9">
        <f>SUMIFS(Actuals!$AA:$AA,Actuals!$A:$A,$A11)</f>
        <v/>
      </c>
      <c r="N11" s="10">
        <f>SUM(B11:M11)</f>
        <v/>
      </c>
    </row>
    <row r="12">
      <c r="A12" s="5" t="inlineStr">
        <is>
          <t>Credit Card Collected - ONS</t>
        </is>
      </c>
      <c r="B12" s="9">
        <f>SUMIFS(Actuals!$P:$P,Actuals!$A:$A,$A12)</f>
        <v/>
      </c>
      <c r="C12" s="9">
        <f>SUMIFS(Actuals!$Q:$Q,Actuals!$A:$A,$A12)</f>
        <v/>
      </c>
      <c r="D12" s="9">
        <f>SUMIFS(Actuals!$R:$R,Actuals!$A:$A,$A12)</f>
        <v/>
      </c>
      <c r="E12" s="9">
        <f>SUMIFS(Actuals!$S:$S,Actuals!$A:$A,$A12)</f>
        <v/>
      </c>
      <c r="F12" s="9">
        <f>SUMIFS(Actuals!$T:$T,Actuals!$A:$A,$A12)</f>
        <v/>
      </c>
      <c r="G12" s="9">
        <f>SUMIFS(Actuals!$U:$U,Actuals!$A:$A,$A12)</f>
        <v/>
      </c>
      <c r="H12" s="9">
        <f>SUMIFS(Actuals!$V:$V,Actuals!$A:$A,$A12)</f>
        <v/>
      </c>
      <c r="I12" s="9">
        <f>SUMIFS(Actuals!$W:$W,Actuals!$A:$A,$A12)</f>
        <v/>
      </c>
      <c r="J12" s="9">
        <f>SUMIFS(Actuals!$X:$X,Actuals!$A:$A,$A12)</f>
        <v/>
      </c>
      <c r="K12" s="9">
        <f>SUMIFS(Actuals!$Y:$Y,Actuals!$A:$A,$A12)</f>
        <v/>
      </c>
      <c r="L12" s="9">
        <f>SUMIFS(Actuals!$Z:$Z,Actuals!$A:$A,$A12)</f>
        <v/>
      </c>
      <c r="M12" s="9">
        <f>SUMIFS(Actuals!$AA:$AA,Actuals!$A:$A,$A12)</f>
        <v/>
      </c>
      <c r="N12" s="10">
        <f>SUM(B12:M12)</f>
        <v/>
      </c>
    </row>
    <row r="13">
      <c r="A13" s="5" t="inlineStr">
        <is>
          <t>Credit Card Collected - PRD</t>
        </is>
      </c>
      <c r="B13" s="9">
        <f>SUMIFS(Actuals!$P:$P,Actuals!$A:$A,$A13)</f>
        <v/>
      </c>
      <c r="C13" s="9">
        <f>SUMIFS(Actuals!$Q:$Q,Actuals!$A:$A,$A13)</f>
        <v/>
      </c>
      <c r="D13" s="9">
        <f>SUMIFS(Actuals!$R:$R,Actuals!$A:$A,$A13)</f>
        <v/>
      </c>
      <c r="E13" s="9">
        <f>SUMIFS(Actuals!$S:$S,Actuals!$A:$A,$A13)</f>
        <v/>
      </c>
      <c r="F13" s="9">
        <f>SUMIFS(Actuals!$T:$T,Actuals!$A:$A,$A13)</f>
        <v/>
      </c>
      <c r="G13" s="9">
        <f>SUMIFS(Actuals!$U:$U,Actuals!$A:$A,$A13)</f>
        <v/>
      </c>
      <c r="H13" s="9">
        <f>SUMIFS(Actuals!$V:$V,Actuals!$A:$A,$A13)</f>
        <v/>
      </c>
      <c r="I13" s="9">
        <f>SUMIFS(Actuals!$W:$W,Actuals!$A:$A,$A13)</f>
        <v/>
      </c>
      <c r="J13" s="9">
        <f>SUMIFS(Actuals!$X:$X,Actuals!$A:$A,$A13)</f>
        <v/>
      </c>
      <c r="K13" s="9">
        <f>SUMIFS(Actuals!$Y:$Y,Actuals!$A:$A,$A13)</f>
        <v/>
      </c>
      <c r="L13" s="9">
        <f>SUMIFS(Actuals!$Z:$Z,Actuals!$A:$A,$A13)</f>
        <v/>
      </c>
      <c r="M13" s="9">
        <f>SUMIFS(Actuals!$AA:$AA,Actuals!$A:$A,$A13)</f>
        <v/>
      </c>
      <c r="N13" s="10">
        <f>SUM(B13:M13)</f>
        <v/>
      </c>
    </row>
    <row r="14">
      <c r="A14" s="5" t="inlineStr">
        <is>
          <t>Credit Card Collected - VID</t>
        </is>
      </c>
      <c r="B14" s="9">
        <f>SUMIFS(Actuals!$P:$P,Actuals!$A:$A,$A14)</f>
        <v/>
      </c>
      <c r="C14" s="9">
        <f>SUMIFS(Actuals!$Q:$Q,Actuals!$A:$A,$A14)</f>
        <v/>
      </c>
      <c r="D14" s="9">
        <f>SUMIFS(Actuals!$R:$R,Actuals!$A:$A,$A14)</f>
        <v/>
      </c>
      <c r="E14" s="9">
        <f>SUMIFS(Actuals!$S:$S,Actuals!$A:$A,$A14)</f>
        <v/>
      </c>
      <c r="F14" s="9">
        <f>SUMIFS(Actuals!$T:$T,Actuals!$A:$A,$A14)</f>
        <v/>
      </c>
      <c r="G14" s="9">
        <f>SUMIFS(Actuals!$U:$U,Actuals!$A:$A,$A14)</f>
        <v/>
      </c>
      <c r="H14" s="9">
        <f>SUMIFS(Actuals!$V:$V,Actuals!$A:$A,$A14)</f>
        <v/>
      </c>
      <c r="I14" s="9">
        <f>SUMIFS(Actuals!$W:$W,Actuals!$A:$A,$A14)</f>
        <v/>
      </c>
      <c r="J14" s="9">
        <f>SUMIFS(Actuals!$X:$X,Actuals!$A:$A,$A14)</f>
        <v/>
      </c>
      <c r="K14" s="9">
        <f>SUMIFS(Actuals!$Y:$Y,Actuals!$A:$A,$A14)</f>
        <v/>
      </c>
      <c r="L14" s="9">
        <f>SUMIFS(Actuals!$Z:$Z,Actuals!$A:$A,$A14)</f>
        <v/>
      </c>
      <c r="M14" s="9">
        <f>SUMIFS(Actuals!$AA:$AA,Actuals!$A:$A,$A14)</f>
        <v/>
      </c>
      <c r="N14" s="10">
        <f>SUM(B14:M14)</f>
        <v/>
      </c>
    </row>
    <row r="15">
      <c r="A15" s="5" t="inlineStr">
        <is>
          <t>Credit Card Collected-INTEGRATION</t>
        </is>
      </c>
      <c r="B15" s="9">
        <f>SUMIFS(Actuals!$P:$P,Actuals!$A:$A,$A15)</f>
        <v/>
      </c>
      <c r="C15" s="9">
        <f>SUMIFS(Actuals!$Q:$Q,Actuals!$A:$A,$A15)</f>
        <v/>
      </c>
      <c r="D15" s="9">
        <f>SUMIFS(Actuals!$R:$R,Actuals!$A:$A,$A15)</f>
        <v/>
      </c>
      <c r="E15" s="9">
        <f>SUMIFS(Actuals!$S:$S,Actuals!$A:$A,$A15)</f>
        <v/>
      </c>
      <c r="F15" s="9">
        <f>SUMIFS(Actuals!$T:$T,Actuals!$A:$A,$A15)</f>
        <v/>
      </c>
      <c r="G15" s="9">
        <f>SUMIFS(Actuals!$U:$U,Actuals!$A:$A,$A15)</f>
        <v/>
      </c>
      <c r="H15" s="9">
        <f>SUMIFS(Actuals!$V:$V,Actuals!$A:$A,$A15)</f>
        <v/>
      </c>
      <c r="I15" s="9">
        <f>SUMIFS(Actuals!$W:$W,Actuals!$A:$A,$A15)</f>
        <v/>
      </c>
      <c r="J15" s="9">
        <f>SUMIFS(Actuals!$X:$X,Actuals!$A:$A,$A15)</f>
        <v/>
      </c>
      <c r="K15" s="9">
        <f>SUMIFS(Actuals!$Y:$Y,Actuals!$A:$A,$A15)</f>
        <v/>
      </c>
      <c r="L15" s="9">
        <f>SUMIFS(Actuals!$Z:$Z,Actuals!$A:$A,$A15)</f>
        <v/>
      </c>
      <c r="M15" s="9">
        <f>SUMIFS(Actuals!$AA:$AA,Actuals!$A:$A,$A15)</f>
        <v/>
      </c>
      <c r="N15" s="10">
        <f>SUM(B15:M15)</f>
        <v/>
      </c>
    </row>
    <row r="16">
      <c r="A16" s="5" t="inlineStr">
        <is>
          <t>Credit Card Fees - ADMIN</t>
        </is>
      </c>
      <c r="B16" s="9">
        <f>SUMIFS(Actuals!$P:$P,Actuals!$A:$A,$A16)</f>
        <v/>
      </c>
      <c r="C16" s="9">
        <f>SUMIFS(Actuals!$Q:$Q,Actuals!$A:$A,$A16)</f>
        <v/>
      </c>
      <c r="D16" s="9">
        <f>SUMIFS(Actuals!$R:$R,Actuals!$A:$A,$A16)</f>
        <v/>
      </c>
      <c r="E16" s="9">
        <f>SUMIFS(Actuals!$S:$S,Actuals!$A:$A,$A16)</f>
        <v/>
      </c>
      <c r="F16" s="9">
        <f>SUMIFS(Actuals!$T:$T,Actuals!$A:$A,$A16)</f>
        <v/>
      </c>
      <c r="G16" s="9">
        <f>SUMIFS(Actuals!$U:$U,Actuals!$A:$A,$A16)</f>
        <v/>
      </c>
      <c r="H16" s="9">
        <f>SUMIFS(Actuals!$V:$V,Actuals!$A:$A,$A16)</f>
        <v/>
      </c>
      <c r="I16" s="9">
        <f>SUMIFS(Actuals!$W:$W,Actuals!$A:$A,$A16)</f>
        <v/>
      </c>
      <c r="J16" s="9">
        <f>SUMIFS(Actuals!$X:$X,Actuals!$A:$A,$A16)</f>
        <v/>
      </c>
      <c r="K16" s="9">
        <f>SUMIFS(Actuals!$Y:$Y,Actuals!$A:$A,$A16)</f>
        <v/>
      </c>
      <c r="L16" s="9">
        <f>SUMIFS(Actuals!$Z:$Z,Actuals!$A:$A,$A16)</f>
        <v/>
      </c>
      <c r="M16" s="9">
        <f>SUMIFS(Actuals!$AA:$AA,Actuals!$A:$A,$A16)</f>
        <v/>
      </c>
      <c r="N16" s="10">
        <f>SUM(B16:M16)</f>
        <v/>
      </c>
    </row>
    <row r="17">
      <c r="A17" s="5" t="inlineStr">
        <is>
          <t>Equipment Hires</t>
        </is>
      </c>
      <c r="B17" s="9">
        <f>SUMIFS(Actuals!$P:$P,Actuals!$A:$A,$A17)</f>
        <v/>
      </c>
      <c r="C17" s="9">
        <f>SUMIFS(Actuals!$Q:$Q,Actuals!$A:$A,$A17)</f>
        <v/>
      </c>
      <c r="D17" s="9">
        <f>SUMIFS(Actuals!$R:$R,Actuals!$A:$A,$A17)</f>
        <v/>
      </c>
      <c r="E17" s="9">
        <f>SUMIFS(Actuals!$S:$S,Actuals!$A:$A,$A17)</f>
        <v/>
      </c>
      <c r="F17" s="9">
        <f>SUMIFS(Actuals!$T:$T,Actuals!$A:$A,$A17)</f>
        <v/>
      </c>
      <c r="G17" s="9">
        <f>SUMIFS(Actuals!$U:$U,Actuals!$A:$A,$A17)</f>
        <v/>
      </c>
      <c r="H17" s="9">
        <f>SUMIFS(Actuals!$V:$V,Actuals!$A:$A,$A17)</f>
        <v/>
      </c>
      <c r="I17" s="9">
        <f>SUMIFS(Actuals!$W:$W,Actuals!$A:$A,$A17)</f>
        <v/>
      </c>
      <c r="J17" s="9">
        <f>SUMIFS(Actuals!$X:$X,Actuals!$A:$A,$A17)</f>
        <v/>
      </c>
      <c r="K17" s="9">
        <f>SUMIFS(Actuals!$Y:$Y,Actuals!$A:$A,$A17)</f>
        <v/>
      </c>
      <c r="L17" s="9">
        <f>SUMIFS(Actuals!$Z:$Z,Actuals!$A:$A,$A17)</f>
        <v/>
      </c>
      <c r="M17" s="9">
        <f>SUMIFS(Actuals!$AA:$AA,Actuals!$A:$A,$A17)</f>
        <v/>
      </c>
      <c r="N17" s="10">
        <f>SUM(B17:M17)</f>
        <v/>
      </c>
    </row>
    <row r="18">
      <c r="A18" s="5" t="inlineStr">
        <is>
          <t>Equipment Sales</t>
        </is>
      </c>
      <c r="B18" s="9">
        <f>SUMIFS(Actuals!$P:$P,Actuals!$A:$A,$A18)</f>
        <v/>
      </c>
      <c r="C18" s="9">
        <f>SUMIFS(Actuals!$Q:$Q,Actuals!$A:$A,$A18)</f>
        <v/>
      </c>
      <c r="D18" s="9">
        <f>SUMIFS(Actuals!$R:$R,Actuals!$A:$A,$A18)</f>
        <v/>
      </c>
      <c r="E18" s="9">
        <f>SUMIFS(Actuals!$S:$S,Actuals!$A:$A,$A18)</f>
        <v/>
      </c>
      <c r="F18" s="9">
        <f>SUMIFS(Actuals!$T:$T,Actuals!$A:$A,$A18)</f>
        <v/>
      </c>
      <c r="G18" s="9">
        <f>SUMIFS(Actuals!$U:$U,Actuals!$A:$A,$A18)</f>
        <v/>
      </c>
      <c r="H18" s="9">
        <f>SUMIFS(Actuals!$V:$V,Actuals!$A:$A,$A18)</f>
        <v/>
      </c>
      <c r="I18" s="9">
        <f>SUMIFS(Actuals!$W:$W,Actuals!$A:$A,$A18)</f>
        <v/>
      </c>
      <c r="J18" s="9">
        <f>SUMIFS(Actuals!$X:$X,Actuals!$A:$A,$A18)</f>
        <v/>
      </c>
      <c r="K18" s="9">
        <f>SUMIFS(Actuals!$Y:$Y,Actuals!$A:$A,$A18)</f>
        <v/>
      </c>
      <c r="L18" s="9">
        <f>SUMIFS(Actuals!$Z:$Z,Actuals!$A:$A,$A18)</f>
        <v/>
      </c>
      <c r="M18" s="9">
        <f>SUMIFS(Actuals!$AA:$AA,Actuals!$A:$A,$A18)</f>
        <v/>
      </c>
      <c r="N18" s="10">
        <f>SUM(B18:M18)</f>
        <v/>
      </c>
    </row>
    <row r="19">
      <c r="A19" s="5" t="inlineStr">
        <is>
          <t>Freight &amp; Travel - ADMIN</t>
        </is>
      </c>
      <c r="B19" s="9">
        <f>SUMIFS(Actuals!$P:$P,Actuals!$A:$A,$A19)</f>
        <v/>
      </c>
      <c r="C19" s="9">
        <f>SUMIFS(Actuals!$Q:$Q,Actuals!$A:$A,$A19)</f>
        <v/>
      </c>
      <c r="D19" s="9">
        <f>SUMIFS(Actuals!$R:$R,Actuals!$A:$A,$A19)</f>
        <v/>
      </c>
      <c r="E19" s="9">
        <f>SUMIFS(Actuals!$S:$S,Actuals!$A:$A,$A19)</f>
        <v/>
      </c>
      <c r="F19" s="9">
        <f>SUMIFS(Actuals!$T:$T,Actuals!$A:$A,$A19)</f>
        <v/>
      </c>
      <c r="G19" s="9">
        <f>SUMIFS(Actuals!$U:$U,Actuals!$A:$A,$A19)</f>
        <v/>
      </c>
      <c r="H19" s="9">
        <f>SUMIFS(Actuals!$V:$V,Actuals!$A:$A,$A19)</f>
        <v/>
      </c>
      <c r="I19" s="9">
        <f>SUMIFS(Actuals!$W:$W,Actuals!$A:$A,$A19)</f>
        <v/>
      </c>
      <c r="J19" s="9">
        <f>SUMIFS(Actuals!$X:$X,Actuals!$A:$A,$A19)</f>
        <v/>
      </c>
      <c r="K19" s="9">
        <f>SUMIFS(Actuals!$Y:$Y,Actuals!$A:$A,$A19)</f>
        <v/>
      </c>
      <c r="L19" s="9">
        <f>SUMIFS(Actuals!$Z:$Z,Actuals!$A:$A,$A19)</f>
        <v/>
      </c>
      <c r="M19" s="9">
        <f>SUMIFS(Actuals!$AA:$AA,Actuals!$A:$A,$A19)</f>
        <v/>
      </c>
      <c r="N19" s="10">
        <f>SUM(B19:M19)</f>
        <v/>
      </c>
    </row>
    <row r="20">
      <c r="A20" s="5" t="inlineStr">
        <is>
          <t>Freight &amp; Travel - CONS</t>
        </is>
      </c>
      <c r="B20" s="9">
        <f>SUMIFS(Actuals!$P:$P,Actuals!$A:$A,$A20)</f>
        <v/>
      </c>
      <c r="C20" s="9">
        <f>SUMIFS(Actuals!$Q:$Q,Actuals!$A:$A,$A20)</f>
        <v/>
      </c>
      <c r="D20" s="9">
        <f>SUMIFS(Actuals!$R:$R,Actuals!$A:$A,$A20)</f>
        <v/>
      </c>
      <c r="E20" s="9">
        <f>SUMIFS(Actuals!$S:$S,Actuals!$A:$A,$A20)</f>
        <v/>
      </c>
      <c r="F20" s="9">
        <f>SUMIFS(Actuals!$T:$T,Actuals!$A:$A,$A20)</f>
        <v/>
      </c>
      <c r="G20" s="9">
        <f>SUMIFS(Actuals!$U:$U,Actuals!$A:$A,$A20)</f>
        <v/>
      </c>
      <c r="H20" s="9">
        <f>SUMIFS(Actuals!$V:$V,Actuals!$A:$A,$A20)</f>
        <v/>
      </c>
      <c r="I20" s="9">
        <f>SUMIFS(Actuals!$W:$W,Actuals!$A:$A,$A20)</f>
        <v/>
      </c>
      <c r="J20" s="9">
        <f>SUMIFS(Actuals!$X:$X,Actuals!$A:$A,$A20)</f>
        <v/>
      </c>
      <c r="K20" s="9">
        <f>SUMIFS(Actuals!$Y:$Y,Actuals!$A:$A,$A20)</f>
        <v/>
      </c>
      <c r="L20" s="9">
        <f>SUMIFS(Actuals!$Z:$Z,Actuals!$A:$A,$A20)</f>
        <v/>
      </c>
      <c r="M20" s="9">
        <f>SUMIFS(Actuals!$AA:$AA,Actuals!$A:$A,$A20)</f>
        <v/>
      </c>
      <c r="N20" s="10">
        <f>SUM(B20:M20)</f>
        <v/>
      </c>
    </row>
    <row r="21">
      <c r="A21" s="5" t="inlineStr">
        <is>
          <t>Freight &amp; Travel - INTEGRATION</t>
        </is>
      </c>
      <c r="B21" s="9">
        <f>SUMIFS(Actuals!$P:$P,Actuals!$A:$A,$A21)</f>
        <v/>
      </c>
      <c r="C21" s="9">
        <f>SUMIFS(Actuals!$Q:$Q,Actuals!$A:$A,$A21)</f>
        <v/>
      </c>
      <c r="D21" s="9">
        <f>SUMIFS(Actuals!$R:$R,Actuals!$A:$A,$A21)</f>
        <v/>
      </c>
      <c r="E21" s="9">
        <f>SUMIFS(Actuals!$S:$S,Actuals!$A:$A,$A21)</f>
        <v/>
      </c>
      <c r="F21" s="9">
        <f>SUMIFS(Actuals!$T:$T,Actuals!$A:$A,$A21)</f>
        <v/>
      </c>
      <c r="G21" s="9">
        <f>SUMIFS(Actuals!$U:$U,Actuals!$A:$A,$A21)</f>
        <v/>
      </c>
      <c r="H21" s="9">
        <f>SUMIFS(Actuals!$V:$V,Actuals!$A:$A,$A21)</f>
        <v/>
      </c>
      <c r="I21" s="9">
        <f>SUMIFS(Actuals!$W:$W,Actuals!$A:$A,$A21)</f>
        <v/>
      </c>
      <c r="J21" s="9">
        <f>SUMIFS(Actuals!$X:$X,Actuals!$A:$A,$A21)</f>
        <v/>
      </c>
      <c r="K21" s="9">
        <f>SUMIFS(Actuals!$Y:$Y,Actuals!$A:$A,$A21)</f>
        <v/>
      </c>
      <c r="L21" s="9">
        <f>SUMIFS(Actuals!$Z:$Z,Actuals!$A:$A,$A21)</f>
        <v/>
      </c>
      <c r="M21" s="9">
        <f>SUMIFS(Actuals!$AA:$AA,Actuals!$A:$A,$A21)</f>
        <v/>
      </c>
      <c r="N21" s="10">
        <f>SUM(B21:M21)</f>
        <v/>
      </c>
    </row>
    <row r="22">
      <c r="A22" s="5" t="inlineStr">
        <is>
          <t>Freight &amp; Travel - ONS</t>
        </is>
      </c>
      <c r="B22" s="9">
        <f>SUMIFS(Actuals!$P:$P,Actuals!$A:$A,$A22)</f>
        <v/>
      </c>
      <c r="C22" s="9">
        <f>SUMIFS(Actuals!$Q:$Q,Actuals!$A:$A,$A22)</f>
        <v/>
      </c>
      <c r="D22" s="9">
        <f>SUMIFS(Actuals!$R:$R,Actuals!$A:$A,$A22)</f>
        <v/>
      </c>
      <c r="E22" s="9">
        <f>SUMIFS(Actuals!$S:$S,Actuals!$A:$A,$A22)</f>
        <v/>
      </c>
      <c r="F22" s="9">
        <f>SUMIFS(Actuals!$T:$T,Actuals!$A:$A,$A22)</f>
        <v/>
      </c>
      <c r="G22" s="9">
        <f>SUMIFS(Actuals!$U:$U,Actuals!$A:$A,$A22)</f>
        <v/>
      </c>
      <c r="H22" s="9">
        <f>SUMIFS(Actuals!$V:$V,Actuals!$A:$A,$A22)</f>
        <v/>
      </c>
      <c r="I22" s="9">
        <f>SUMIFS(Actuals!$W:$W,Actuals!$A:$A,$A22)</f>
        <v/>
      </c>
      <c r="J22" s="9">
        <f>SUMIFS(Actuals!$X:$X,Actuals!$A:$A,$A22)</f>
        <v/>
      </c>
      <c r="K22" s="9">
        <f>SUMIFS(Actuals!$Y:$Y,Actuals!$A:$A,$A22)</f>
        <v/>
      </c>
      <c r="L22" s="9">
        <f>SUMIFS(Actuals!$Z:$Z,Actuals!$A:$A,$A22)</f>
        <v/>
      </c>
      <c r="M22" s="9">
        <f>SUMIFS(Actuals!$AA:$AA,Actuals!$A:$A,$A22)</f>
        <v/>
      </c>
      <c r="N22" s="10">
        <f>SUM(B22:M22)</f>
        <v/>
      </c>
    </row>
    <row r="23">
      <c r="A23" s="5" t="inlineStr">
        <is>
          <t>Freight &amp; Travel - PRD</t>
        </is>
      </c>
      <c r="B23" s="9">
        <f>SUMIFS(Actuals!$P:$P,Actuals!$A:$A,$A23)</f>
        <v/>
      </c>
      <c r="C23" s="9">
        <f>SUMIFS(Actuals!$Q:$Q,Actuals!$A:$A,$A23)</f>
        <v/>
      </c>
      <c r="D23" s="9">
        <f>SUMIFS(Actuals!$R:$R,Actuals!$A:$A,$A23)</f>
        <v/>
      </c>
      <c r="E23" s="9">
        <f>SUMIFS(Actuals!$S:$S,Actuals!$A:$A,$A23)</f>
        <v/>
      </c>
      <c r="F23" s="9">
        <f>SUMIFS(Actuals!$T:$T,Actuals!$A:$A,$A23)</f>
        <v/>
      </c>
      <c r="G23" s="9">
        <f>SUMIFS(Actuals!$U:$U,Actuals!$A:$A,$A23)</f>
        <v/>
      </c>
      <c r="H23" s="9">
        <f>SUMIFS(Actuals!$V:$V,Actuals!$A:$A,$A23)</f>
        <v/>
      </c>
      <c r="I23" s="9">
        <f>SUMIFS(Actuals!$W:$W,Actuals!$A:$A,$A23)</f>
        <v/>
      </c>
      <c r="J23" s="9">
        <f>SUMIFS(Actuals!$X:$X,Actuals!$A:$A,$A23)</f>
        <v/>
      </c>
      <c r="K23" s="9">
        <f>SUMIFS(Actuals!$Y:$Y,Actuals!$A:$A,$A23)</f>
        <v/>
      </c>
      <c r="L23" s="9">
        <f>SUMIFS(Actuals!$Z:$Z,Actuals!$A:$A,$A23)</f>
        <v/>
      </c>
      <c r="M23" s="9">
        <f>SUMIFS(Actuals!$AA:$AA,Actuals!$A:$A,$A23)</f>
        <v/>
      </c>
      <c r="N23" s="10">
        <f>SUM(B23:M23)</f>
        <v/>
      </c>
    </row>
    <row r="24">
      <c r="A24" s="5" t="inlineStr">
        <is>
          <t>Freight &amp; Travel - VID</t>
        </is>
      </c>
      <c r="B24" s="9">
        <f>SUMIFS(Actuals!$P:$P,Actuals!$A:$A,$A24)</f>
        <v/>
      </c>
      <c r="C24" s="9">
        <f>SUMIFS(Actuals!$Q:$Q,Actuals!$A:$A,$A24)</f>
        <v/>
      </c>
      <c r="D24" s="9">
        <f>SUMIFS(Actuals!$R:$R,Actuals!$A:$A,$A24)</f>
        <v/>
      </c>
      <c r="E24" s="9">
        <f>SUMIFS(Actuals!$S:$S,Actuals!$A:$A,$A24)</f>
        <v/>
      </c>
      <c r="F24" s="9">
        <f>SUMIFS(Actuals!$T:$T,Actuals!$A:$A,$A24)</f>
        <v/>
      </c>
      <c r="G24" s="9">
        <f>SUMIFS(Actuals!$U:$U,Actuals!$A:$A,$A24)</f>
        <v/>
      </c>
      <c r="H24" s="9">
        <f>SUMIFS(Actuals!$V:$V,Actuals!$A:$A,$A24)</f>
        <v/>
      </c>
      <c r="I24" s="9">
        <f>SUMIFS(Actuals!$W:$W,Actuals!$A:$A,$A24)</f>
        <v/>
      </c>
      <c r="J24" s="9">
        <f>SUMIFS(Actuals!$X:$X,Actuals!$A:$A,$A24)</f>
        <v/>
      </c>
      <c r="K24" s="9">
        <f>SUMIFS(Actuals!$Y:$Y,Actuals!$A:$A,$A24)</f>
        <v/>
      </c>
      <c r="L24" s="9">
        <f>SUMIFS(Actuals!$Z:$Z,Actuals!$A:$A,$A24)</f>
        <v/>
      </c>
      <c r="M24" s="9">
        <f>SUMIFS(Actuals!$AA:$AA,Actuals!$A:$A,$A24)</f>
        <v/>
      </c>
      <c r="N24" s="10">
        <f>SUM(B24:M24)</f>
        <v/>
      </c>
    </row>
    <row r="25">
      <c r="A25" s="5" t="inlineStr">
        <is>
          <t>Installation Labour</t>
        </is>
      </c>
      <c r="B25" s="9">
        <f>SUMIFS(Actuals!$P:$P,Actuals!$A:$A,$A25)</f>
        <v/>
      </c>
      <c r="C25" s="9">
        <f>SUMIFS(Actuals!$Q:$Q,Actuals!$A:$A,$A25)</f>
        <v/>
      </c>
      <c r="D25" s="9">
        <f>SUMIFS(Actuals!$R:$R,Actuals!$A:$A,$A25)</f>
        <v/>
      </c>
      <c r="E25" s="9">
        <f>SUMIFS(Actuals!$S:$S,Actuals!$A:$A,$A25)</f>
        <v/>
      </c>
      <c r="F25" s="9">
        <f>SUMIFS(Actuals!$T:$T,Actuals!$A:$A,$A25)</f>
        <v/>
      </c>
      <c r="G25" s="9">
        <f>SUMIFS(Actuals!$U:$U,Actuals!$A:$A,$A25)</f>
        <v/>
      </c>
      <c r="H25" s="9">
        <f>SUMIFS(Actuals!$V:$V,Actuals!$A:$A,$A25)</f>
        <v/>
      </c>
      <c r="I25" s="9">
        <f>SUMIFS(Actuals!$W:$W,Actuals!$A:$A,$A25)</f>
        <v/>
      </c>
      <c r="J25" s="9">
        <f>SUMIFS(Actuals!$X:$X,Actuals!$A:$A,$A25)</f>
        <v/>
      </c>
      <c r="K25" s="9">
        <f>SUMIFS(Actuals!$Y:$Y,Actuals!$A:$A,$A25)</f>
        <v/>
      </c>
      <c r="L25" s="9">
        <f>SUMIFS(Actuals!$Z:$Z,Actuals!$A:$A,$A25)</f>
        <v/>
      </c>
      <c r="M25" s="9">
        <f>SUMIFS(Actuals!$AA:$AA,Actuals!$A:$A,$A25)</f>
        <v/>
      </c>
      <c r="N25" s="10">
        <f>SUM(B25:M25)</f>
        <v/>
      </c>
    </row>
    <row r="26">
      <c r="A26" s="5" t="inlineStr">
        <is>
          <t>Meal &amp; Travel - ADMIN</t>
        </is>
      </c>
      <c r="B26" s="9">
        <f>SUMIFS(Actuals!$P:$P,Actuals!$A:$A,$A26)</f>
        <v/>
      </c>
      <c r="C26" s="9">
        <f>SUMIFS(Actuals!$Q:$Q,Actuals!$A:$A,$A26)</f>
        <v/>
      </c>
      <c r="D26" s="9">
        <f>SUMIFS(Actuals!$R:$R,Actuals!$A:$A,$A26)</f>
        <v/>
      </c>
      <c r="E26" s="9">
        <f>SUMIFS(Actuals!$S:$S,Actuals!$A:$A,$A26)</f>
        <v/>
      </c>
      <c r="F26" s="9">
        <f>SUMIFS(Actuals!$T:$T,Actuals!$A:$A,$A26)</f>
        <v/>
      </c>
      <c r="G26" s="9">
        <f>SUMIFS(Actuals!$U:$U,Actuals!$A:$A,$A26)</f>
        <v/>
      </c>
      <c r="H26" s="9">
        <f>SUMIFS(Actuals!$V:$V,Actuals!$A:$A,$A26)</f>
        <v/>
      </c>
      <c r="I26" s="9">
        <f>SUMIFS(Actuals!$W:$W,Actuals!$A:$A,$A26)</f>
        <v/>
      </c>
      <c r="J26" s="9">
        <f>SUMIFS(Actuals!$X:$X,Actuals!$A:$A,$A26)</f>
        <v/>
      </c>
      <c r="K26" s="9">
        <f>SUMIFS(Actuals!$Y:$Y,Actuals!$A:$A,$A26)</f>
        <v/>
      </c>
      <c r="L26" s="9">
        <f>SUMIFS(Actuals!$Z:$Z,Actuals!$A:$A,$A26)</f>
        <v/>
      </c>
      <c r="M26" s="9">
        <f>SUMIFS(Actuals!$AA:$AA,Actuals!$A:$A,$A26)</f>
        <v/>
      </c>
      <c r="N26" s="10">
        <f>SUM(B26:M26)</f>
        <v/>
      </c>
    </row>
    <row r="27">
      <c r="A27" s="5" t="inlineStr">
        <is>
          <t>Meal &amp; Travel - CONS</t>
        </is>
      </c>
      <c r="B27" s="9">
        <f>SUMIFS(Actuals!$P:$P,Actuals!$A:$A,$A27)</f>
        <v/>
      </c>
      <c r="C27" s="9">
        <f>SUMIFS(Actuals!$Q:$Q,Actuals!$A:$A,$A27)</f>
        <v/>
      </c>
      <c r="D27" s="9">
        <f>SUMIFS(Actuals!$R:$R,Actuals!$A:$A,$A27)</f>
        <v/>
      </c>
      <c r="E27" s="9">
        <f>SUMIFS(Actuals!$S:$S,Actuals!$A:$A,$A27)</f>
        <v/>
      </c>
      <c r="F27" s="9">
        <f>SUMIFS(Actuals!$T:$T,Actuals!$A:$A,$A27)</f>
        <v/>
      </c>
      <c r="G27" s="9">
        <f>SUMIFS(Actuals!$U:$U,Actuals!$A:$A,$A27)</f>
        <v/>
      </c>
      <c r="H27" s="9">
        <f>SUMIFS(Actuals!$V:$V,Actuals!$A:$A,$A27)</f>
        <v/>
      </c>
      <c r="I27" s="9">
        <f>SUMIFS(Actuals!$W:$W,Actuals!$A:$A,$A27)</f>
        <v/>
      </c>
      <c r="J27" s="9">
        <f>SUMIFS(Actuals!$X:$X,Actuals!$A:$A,$A27)</f>
        <v/>
      </c>
      <c r="K27" s="9">
        <f>SUMIFS(Actuals!$Y:$Y,Actuals!$A:$A,$A27)</f>
        <v/>
      </c>
      <c r="L27" s="9">
        <f>SUMIFS(Actuals!$Z:$Z,Actuals!$A:$A,$A27)</f>
        <v/>
      </c>
      <c r="M27" s="9">
        <f>SUMIFS(Actuals!$AA:$AA,Actuals!$A:$A,$A27)</f>
        <v/>
      </c>
      <c r="N27" s="10">
        <f>SUM(B27:M27)</f>
        <v/>
      </c>
    </row>
    <row r="28">
      <c r="A28" s="5" t="inlineStr">
        <is>
          <t>Meal &amp; Travel - INTEGRATION</t>
        </is>
      </c>
      <c r="B28" s="9">
        <f>SUMIFS(Actuals!$P:$P,Actuals!$A:$A,$A28)</f>
        <v/>
      </c>
      <c r="C28" s="9">
        <f>SUMIFS(Actuals!$Q:$Q,Actuals!$A:$A,$A28)</f>
        <v/>
      </c>
      <c r="D28" s="9">
        <f>SUMIFS(Actuals!$R:$R,Actuals!$A:$A,$A28)</f>
        <v/>
      </c>
      <c r="E28" s="9">
        <f>SUMIFS(Actuals!$S:$S,Actuals!$A:$A,$A28)</f>
        <v/>
      </c>
      <c r="F28" s="9">
        <f>SUMIFS(Actuals!$T:$T,Actuals!$A:$A,$A28)</f>
        <v/>
      </c>
      <c r="G28" s="9">
        <f>SUMIFS(Actuals!$U:$U,Actuals!$A:$A,$A28)</f>
        <v/>
      </c>
      <c r="H28" s="9">
        <f>SUMIFS(Actuals!$V:$V,Actuals!$A:$A,$A28)</f>
        <v/>
      </c>
      <c r="I28" s="9">
        <f>SUMIFS(Actuals!$W:$W,Actuals!$A:$A,$A28)</f>
        <v/>
      </c>
      <c r="J28" s="9">
        <f>SUMIFS(Actuals!$X:$X,Actuals!$A:$A,$A28)</f>
        <v/>
      </c>
      <c r="K28" s="9">
        <f>SUMIFS(Actuals!$Y:$Y,Actuals!$A:$A,$A28)</f>
        <v/>
      </c>
      <c r="L28" s="9">
        <f>SUMIFS(Actuals!$Z:$Z,Actuals!$A:$A,$A28)</f>
        <v/>
      </c>
      <c r="M28" s="9">
        <f>SUMIFS(Actuals!$AA:$AA,Actuals!$A:$A,$A28)</f>
        <v/>
      </c>
      <c r="N28" s="10">
        <f>SUM(B28:M28)</f>
        <v/>
      </c>
    </row>
    <row r="29">
      <c r="A29" s="5" t="inlineStr">
        <is>
          <t>Meal &amp; Travel - ONS</t>
        </is>
      </c>
      <c r="B29" s="9">
        <f>SUMIFS(Actuals!$P:$P,Actuals!$A:$A,$A29)</f>
        <v/>
      </c>
      <c r="C29" s="9">
        <f>SUMIFS(Actuals!$Q:$Q,Actuals!$A:$A,$A29)</f>
        <v/>
      </c>
      <c r="D29" s="9">
        <f>SUMIFS(Actuals!$R:$R,Actuals!$A:$A,$A29)</f>
        <v/>
      </c>
      <c r="E29" s="9">
        <f>SUMIFS(Actuals!$S:$S,Actuals!$A:$A,$A29)</f>
        <v/>
      </c>
      <c r="F29" s="9">
        <f>SUMIFS(Actuals!$T:$T,Actuals!$A:$A,$A29)</f>
        <v/>
      </c>
      <c r="G29" s="9">
        <f>SUMIFS(Actuals!$U:$U,Actuals!$A:$A,$A29)</f>
        <v/>
      </c>
      <c r="H29" s="9">
        <f>SUMIFS(Actuals!$V:$V,Actuals!$A:$A,$A29)</f>
        <v/>
      </c>
      <c r="I29" s="9">
        <f>SUMIFS(Actuals!$W:$W,Actuals!$A:$A,$A29)</f>
        <v/>
      </c>
      <c r="J29" s="9">
        <f>SUMIFS(Actuals!$X:$X,Actuals!$A:$A,$A29)</f>
        <v/>
      </c>
      <c r="K29" s="9">
        <f>SUMIFS(Actuals!$Y:$Y,Actuals!$A:$A,$A29)</f>
        <v/>
      </c>
      <c r="L29" s="9">
        <f>SUMIFS(Actuals!$Z:$Z,Actuals!$A:$A,$A29)</f>
        <v/>
      </c>
      <c r="M29" s="9">
        <f>SUMIFS(Actuals!$AA:$AA,Actuals!$A:$A,$A29)</f>
        <v/>
      </c>
      <c r="N29" s="10">
        <f>SUM(B29:M29)</f>
        <v/>
      </c>
    </row>
    <row r="30">
      <c r="A30" s="5" t="inlineStr">
        <is>
          <t>Meal &amp; Travel - PRD</t>
        </is>
      </c>
      <c r="B30" s="9">
        <f>SUMIFS(Actuals!$P:$P,Actuals!$A:$A,$A30)</f>
        <v/>
      </c>
      <c r="C30" s="9">
        <f>SUMIFS(Actuals!$Q:$Q,Actuals!$A:$A,$A30)</f>
        <v/>
      </c>
      <c r="D30" s="9">
        <f>SUMIFS(Actuals!$R:$R,Actuals!$A:$A,$A30)</f>
        <v/>
      </c>
      <c r="E30" s="9">
        <f>SUMIFS(Actuals!$S:$S,Actuals!$A:$A,$A30)</f>
        <v/>
      </c>
      <c r="F30" s="9">
        <f>SUMIFS(Actuals!$T:$T,Actuals!$A:$A,$A30)</f>
        <v/>
      </c>
      <c r="G30" s="9">
        <f>SUMIFS(Actuals!$U:$U,Actuals!$A:$A,$A30)</f>
        <v/>
      </c>
      <c r="H30" s="9">
        <f>SUMIFS(Actuals!$V:$V,Actuals!$A:$A,$A30)</f>
        <v/>
      </c>
      <c r="I30" s="9">
        <f>SUMIFS(Actuals!$W:$W,Actuals!$A:$A,$A30)</f>
        <v/>
      </c>
      <c r="J30" s="9">
        <f>SUMIFS(Actuals!$X:$X,Actuals!$A:$A,$A30)</f>
        <v/>
      </c>
      <c r="K30" s="9">
        <f>SUMIFS(Actuals!$Y:$Y,Actuals!$A:$A,$A30)</f>
        <v/>
      </c>
      <c r="L30" s="9">
        <f>SUMIFS(Actuals!$Z:$Z,Actuals!$A:$A,$A30)</f>
        <v/>
      </c>
      <c r="M30" s="9">
        <f>SUMIFS(Actuals!$AA:$AA,Actuals!$A:$A,$A30)</f>
        <v/>
      </c>
      <c r="N30" s="10">
        <f>SUM(B30:M30)</f>
        <v/>
      </c>
    </row>
    <row r="31">
      <c r="A31" s="5" t="inlineStr">
        <is>
          <t>Meal &amp; Travel - VID</t>
        </is>
      </c>
      <c r="B31" s="9">
        <f>SUMIFS(Actuals!$P:$P,Actuals!$A:$A,$A31)</f>
        <v/>
      </c>
      <c r="C31" s="9">
        <f>SUMIFS(Actuals!$Q:$Q,Actuals!$A:$A,$A31)</f>
        <v/>
      </c>
      <c r="D31" s="9">
        <f>SUMIFS(Actuals!$R:$R,Actuals!$A:$A,$A31)</f>
        <v/>
      </c>
      <c r="E31" s="9">
        <f>SUMIFS(Actuals!$S:$S,Actuals!$A:$A,$A31)</f>
        <v/>
      </c>
      <c r="F31" s="9">
        <f>SUMIFS(Actuals!$T:$T,Actuals!$A:$A,$A31)</f>
        <v/>
      </c>
      <c r="G31" s="9">
        <f>SUMIFS(Actuals!$U:$U,Actuals!$A:$A,$A31)</f>
        <v/>
      </c>
      <c r="H31" s="9">
        <f>SUMIFS(Actuals!$V:$V,Actuals!$A:$A,$A31)</f>
        <v/>
      </c>
      <c r="I31" s="9">
        <f>SUMIFS(Actuals!$W:$W,Actuals!$A:$A,$A31)</f>
        <v/>
      </c>
      <c r="J31" s="9">
        <f>SUMIFS(Actuals!$X:$X,Actuals!$A:$A,$A31)</f>
        <v/>
      </c>
      <c r="K31" s="9">
        <f>SUMIFS(Actuals!$Y:$Y,Actuals!$A:$A,$A31)</f>
        <v/>
      </c>
      <c r="L31" s="9">
        <f>SUMIFS(Actuals!$Z:$Z,Actuals!$A:$A,$A31)</f>
        <v/>
      </c>
      <c r="M31" s="9">
        <f>SUMIFS(Actuals!$AA:$AA,Actuals!$A:$A,$A31)</f>
        <v/>
      </c>
      <c r="N31" s="10">
        <f>SUM(B31:M31)</f>
        <v/>
      </c>
    </row>
    <row r="32">
      <c r="A32" s="5" t="inlineStr">
        <is>
          <t>Miscellaneous Income</t>
        </is>
      </c>
      <c r="B32" s="9">
        <f>SUMIFS(Actuals!$P:$P,Actuals!$A:$A,$A32)</f>
        <v/>
      </c>
      <c r="C32" s="9">
        <f>SUMIFS(Actuals!$Q:$Q,Actuals!$A:$A,$A32)</f>
        <v/>
      </c>
      <c r="D32" s="9">
        <f>SUMIFS(Actuals!$R:$R,Actuals!$A:$A,$A32)</f>
        <v/>
      </c>
      <c r="E32" s="9">
        <f>SUMIFS(Actuals!$S:$S,Actuals!$A:$A,$A32)</f>
        <v/>
      </c>
      <c r="F32" s="9">
        <f>SUMIFS(Actuals!$T:$T,Actuals!$A:$A,$A32)</f>
        <v/>
      </c>
      <c r="G32" s="9">
        <f>SUMIFS(Actuals!$U:$U,Actuals!$A:$A,$A32)</f>
        <v/>
      </c>
      <c r="H32" s="9">
        <f>SUMIFS(Actuals!$V:$V,Actuals!$A:$A,$A32)</f>
        <v/>
      </c>
      <c r="I32" s="9">
        <f>SUMIFS(Actuals!$W:$W,Actuals!$A:$A,$A32)</f>
        <v/>
      </c>
      <c r="J32" s="9">
        <f>SUMIFS(Actuals!$X:$X,Actuals!$A:$A,$A32)</f>
        <v/>
      </c>
      <c r="K32" s="9">
        <f>SUMIFS(Actuals!$Y:$Y,Actuals!$A:$A,$A32)</f>
        <v/>
      </c>
      <c r="L32" s="9">
        <f>SUMIFS(Actuals!$Z:$Z,Actuals!$A:$A,$A32)</f>
        <v/>
      </c>
      <c r="M32" s="9">
        <f>SUMIFS(Actuals!$AA:$AA,Actuals!$A:$A,$A32)</f>
        <v/>
      </c>
      <c r="N32" s="10">
        <f>SUM(B32:M32)</f>
        <v/>
      </c>
    </row>
    <row r="33">
      <c r="A33" s="5" t="inlineStr">
        <is>
          <t>Mobile Phone Plans</t>
        </is>
      </c>
      <c r="B33" s="9">
        <f>SUMIFS(Actuals!$P:$P,Actuals!$A:$A,$A33)</f>
        <v/>
      </c>
      <c r="C33" s="9">
        <f>SUMIFS(Actuals!$Q:$Q,Actuals!$A:$A,$A33)</f>
        <v/>
      </c>
      <c r="D33" s="9">
        <f>SUMIFS(Actuals!$R:$R,Actuals!$A:$A,$A33)</f>
        <v/>
      </c>
      <c r="E33" s="9">
        <f>SUMIFS(Actuals!$S:$S,Actuals!$A:$A,$A33)</f>
        <v/>
      </c>
      <c r="F33" s="9">
        <f>SUMIFS(Actuals!$T:$T,Actuals!$A:$A,$A33)</f>
        <v/>
      </c>
      <c r="G33" s="9">
        <f>SUMIFS(Actuals!$U:$U,Actuals!$A:$A,$A33)</f>
        <v/>
      </c>
      <c r="H33" s="9">
        <f>SUMIFS(Actuals!$V:$V,Actuals!$A:$A,$A33)</f>
        <v/>
      </c>
      <c r="I33" s="9">
        <f>SUMIFS(Actuals!$W:$W,Actuals!$A:$A,$A33)</f>
        <v/>
      </c>
      <c r="J33" s="9">
        <f>SUMIFS(Actuals!$X:$X,Actuals!$A:$A,$A33)</f>
        <v/>
      </c>
      <c r="K33" s="9">
        <f>SUMIFS(Actuals!$Y:$Y,Actuals!$A:$A,$A33)</f>
        <v/>
      </c>
      <c r="L33" s="9">
        <f>SUMIFS(Actuals!$Z:$Z,Actuals!$A:$A,$A33)</f>
        <v/>
      </c>
      <c r="M33" s="9">
        <f>SUMIFS(Actuals!$AA:$AA,Actuals!$A:$A,$A33)</f>
        <v/>
      </c>
      <c r="N33" s="10">
        <f>SUM(B33:M33)</f>
        <v/>
      </c>
    </row>
    <row r="34">
      <c r="A34" s="5" t="inlineStr">
        <is>
          <t>Opening Work in Progress</t>
        </is>
      </c>
      <c r="B34" s="9">
        <f>SUMIFS(Actuals!$P:$P,Actuals!$A:$A,$A34)</f>
        <v/>
      </c>
      <c r="C34" s="9">
        <f>SUMIFS(Actuals!$Q:$Q,Actuals!$A:$A,$A34)</f>
        <v/>
      </c>
      <c r="D34" s="9">
        <f>SUMIFS(Actuals!$R:$R,Actuals!$A:$A,$A34)</f>
        <v/>
      </c>
      <c r="E34" s="9">
        <f>SUMIFS(Actuals!$S:$S,Actuals!$A:$A,$A34)</f>
        <v/>
      </c>
      <c r="F34" s="9">
        <f>SUMIFS(Actuals!$T:$T,Actuals!$A:$A,$A34)</f>
        <v/>
      </c>
      <c r="G34" s="9">
        <f>SUMIFS(Actuals!$U:$U,Actuals!$A:$A,$A34)</f>
        <v/>
      </c>
      <c r="H34" s="9">
        <f>SUMIFS(Actuals!$V:$V,Actuals!$A:$A,$A34)</f>
        <v/>
      </c>
      <c r="I34" s="9">
        <f>SUMIFS(Actuals!$W:$W,Actuals!$A:$A,$A34)</f>
        <v/>
      </c>
      <c r="J34" s="9">
        <f>SUMIFS(Actuals!$X:$X,Actuals!$A:$A,$A34)</f>
        <v/>
      </c>
      <c r="K34" s="9">
        <f>SUMIFS(Actuals!$Y:$Y,Actuals!$A:$A,$A34)</f>
        <v/>
      </c>
      <c r="L34" s="9">
        <f>SUMIFS(Actuals!$Z:$Z,Actuals!$A:$A,$A34)</f>
        <v/>
      </c>
      <c r="M34" s="9">
        <f>SUMIFS(Actuals!$AA:$AA,Actuals!$A:$A,$A34)</f>
        <v/>
      </c>
      <c r="N34" s="10">
        <f>SUM(B34:M34)</f>
        <v/>
      </c>
    </row>
    <row r="35">
      <c r="A35" s="5" t="inlineStr">
        <is>
          <t>Production Labour</t>
        </is>
      </c>
      <c r="B35" s="9">
        <f>SUMIFS(Actuals!$P:$P,Actuals!$A:$A,$A35)</f>
        <v/>
      </c>
      <c r="C35" s="9">
        <f>SUMIFS(Actuals!$Q:$Q,Actuals!$A:$A,$A35)</f>
        <v/>
      </c>
      <c r="D35" s="9">
        <f>SUMIFS(Actuals!$R:$R,Actuals!$A:$A,$A35)</f>
        <v/>
      </c>
      <c r="E35" s="9">
        <f>SUMIFS(Actuals!$S:$S,Actuals!$A:$A,$A35)</f>
        <v/>
      </c>
      <c r="F35" s="9">
        <f>SUMIFS(Actuals!$T:$T,Actuals!$A:$A,$A35)</f>
        <v/>
      </c>
      <c r="G35" s="9">
        <f>SUMIFS(Actuals!$U:$U,Actuals!$A:$A,$A35)</f>
        <v/>
      </c>
      <c r="H35" s="9">
        <f>SUMIFS(Actuals!$V:$V,Actuals!$A:$A,$A35)</f>
        <v/>
      </c>
      <c r="I35" s="9">
        <f>SUMIFS(Actuals!$W:$W,Actuals!$A:$A,$A35)</f>
        <v/>
      </c>
      <c r="J35" s="9">
        <f>SUMIFS(Actuals!$X:$X,Actuals!$A:$A,$A35)</f>
        <v/>
      </c>
      <c r="K35" s="9">
        <f>SUMIFS(Actuals!$Y:$Y,Actuals!$A:$A,$A35)</f>
        <v/>
      </c>
      <c r="L35" s="9">
        <f>SUMIFS(Actuals!$Z:$Z,Actuals!$A:$A,$A35)</f>
        <v/>
      </c>
      <c r="M35" s="9">
        <f>SUMIFS(Actuals!$AA:$AA,Actuals!$A:$A,$A35)</f>
        <v/>
      </c>
      <c r="N35" s="10">
        <f>SUM(B35:M35)</f>
        <v/>
      </c>
    </row>
    <row r="36">
      <c r="A36" s="5" t="inlineStr">
        <is>
          <t>Subscriptions &amp; Licences - Income</t>
        </is>
      </c>
      <c r="B36" s="9">
        <f>SUMIFS(Actuals!$P:$P,Actuals!$A:$A,$A36)</f>
        <v/>
      </c>
      <c r="C36" s="9">
        <f>SUMIFS(Actuals!$Q:$Q,Actuals!$A:$A,$A36)</f>
        <v/>
      </c>
      <c r="D36" s="9">
        <f>SUMIFS(Actuals!$R:$R,Actuals!$A:$A,$A36)</f>
        <v/>
      </c>
      <c r="E36" s="9">
        <f>SUMIFS(Actuals!$S:$S,Actuals!$A:$A,$A36)</f>
        <v/>
      </c>
      <c r="F36" s="9">
        <f>SUMIFS(Actuals!$T:$T,Actuals!$A:$A,$A36)</f>
        <v/>
      </c>
      <c r="G36" s="9">
        <f>SUMIFS(Actuals!$U:$U,Actuals!$A:$A,$A36)</f>
        <v/>
      </c>
      <c r="H36" s="9">
        <f>SUMIFS(Actuals!$V:$V,Actuals!$A:$A,$A36)</f>
        <v/>
      </c>
      <c r="I36" s="9">
        <f>SUMIFS(Actuals!$W:$W,Actuals!$A:$A,$A36)</f>
        <v/>
      </c>
      <c r="J36" s="9">
        <f>SUMIFS(Actuals!$X:$X,Actuals!$A:$A,$A36)</f>
        <v/>
      </c>
      <c r="K36" s="9">
        <f>SUMIFS(Actuals!$Y:$Y,Actuals!$A:$A,$A36)</f>
        <v/>
      </c>
      <c r="L36" s="9">
        <f>SUMIFS(Actuals!$Z:$Z,Actuals!$A:$A,$A36)</f>
        <v/>
      </c>
      <c r="M36" s="9">
        <f>SUMIFS(Actuals!$AA:$AA,Actuals!$A:$A,$A36)</f>
        <v/>
      </c>
      <c r="N36" s="10">
        <f>SUM(B36:M36)</f>
        <v/>
      </c>
    </row>
    <row r="37">
      <c r="A37" s="5" t="inlineStr">
        <is>
          <t>Tech Consulting/Project Manage</t>
        </is>
      </c>
      <c r="B37" s="9">
        <f>SUMIFS(Actuals!$P:$P,Actuals!$A:$A,$A37)</f>
        <v/>
      </c>
      <c r="C37" s="9">
        <f>SUMIFS(Actuals!$Q:$Q,Actuals!$A:$A,$A37)</f>
        <v/>
      </c>
      <c r="D37" s="9">
        <f>SUMIFS(Actuals!$R:$R,Actuals!$A:$A,$A37)</f>
        <v/>
      </c>
      <c r="E37" s="9">
        <f>SUMIFS(Actuals!$S:$S,Actuals!$A:$A,$A37)</f>
        <v/>
      </c>
      <c r="F37" s="9">
        <f>SUMIFS(Actuals!$T:$T,Actuals!$A:$A,$A37)</f>
        <v/>
      </c>
      <c r="G37" s="9">
        <f>SUMIFS(Actuals!$U:$U,Actuals!$A:$A,$A37)</f>
        <v/>
      </c>
      <c r="H37" s="9">
        <f>SUMIFS(Actuals!$V:$V,Actuals!$A:$A,$A37)</f>
        <v/>
      </c>
      <c r="I37" s="9">
        <f>SUMIFS(Actuals!$W:$W,Actuals!$A:$A,$A37)</f>
        <v/>
      </c>
      <c r="J37" s="9">
        <f>SUMIFS(Actuals!$X:$X,Actuals!$A:$A,$A37)</f>
        <v/>
      </c>
      <c r="K37" s="9">
        <f>SUMIFS(Actuals!$Y:$Y,Actuals!$A:$A,$A37)</f>
        <v/>
      </c>
      <c r="L37" s="9">
        <f>SUMIFS(Actuals!$Z:$Z,Actuals!$A:$A,$A37)</f>
        <v/>
      </c>
      <c r="M37" s="9">
        <f>SUMIFS(Actuals!$AA:$AA,Actuals!$A:$A,$A37)</f>
        <v/>
      </c>
      <c r="N37" s="10">
        <f>SUM(B37:M37)</f>
        <v/>
      </c>
    </row>
    <row r="38">
      <c r="A38" s="5" t="inlineStr">
        <is>
          <t>Tech Event Management</t>
        </is>
      </c>
      <c r="B38" s="9">
        <f>SUMIFS(Actuals!$P:$P,Actuals!$A:$A,$A38)</f>
        <v/>
      </c>
      <c r="C38" s="9">
        <f>SUMIFS(Actuals!$Q:$Q,Actuals!$A:$A,$A38)</f>
        <v/>
      </c>
      <c r="D38" s="9">
        <f>SUMIFS(Actuals!$R:$R,Actuals!$A:$A,$A38)</f>
        <v/>
      </c>
      <c r="E38" s="9">
        <f>SUMIFS(Actuals!$S:$S,Actuals!$A:$A,$A38)</f>
        <v/>
      </c>
      <c r="F38" s="9">
        <f>SUMIFS(Actuals!$T:$T,Actuals!$A:$A,$A38)</f>
        <v/>
      </c>
      <c r="G38" s="9">
        <f>SUMIFS(Actuals!$U:$U,Actuals!$A:$A,$A38)</f>
        <v/>
      </c>
      <c r="H38" s="9">
        <f>SUMIFS(Actuals!$V:$V,Actuals!$A:$A,$A38)</f>
        <v/>
      </c>
      <c r="I38" s="9">
        <f>SUMIFS(Actuals!$W:$W,Actuals!$A:$A,$A38)</f>
        <v/>
      </c>
      <c r="J38" s="9">
        <f>SUMIFS(Actuals!$X:$X,Actuals!$A:$A,$A38)</f>
        <v/>
      </c>
      <c r="K38" s="9">
        <f>SUMIFS(Actuals!$Y:$Y,Actuals!$A:$A,$A38)</f>
        <v/>
      </c>
      <c r="L38" s="9">
        <f>SUMIFS(Actuals!$Z:$Z,Actuals!$A:$A,$A38)</f>
        <v/>
      </c>
      <c r="M38" s="9">
        <f>SUMIFS(Actuals!$AA:$AA,Actuals!$A:$A,$A38)</f>
        <v/>
      </c>
      <c r="N38" s="10">
        <f>SUM(B38:M38)</f>
        <v/>
      </c>
    </row>
    <row r="39">
      <c r="A39" s="5" t="inlineStr">
        <is>
          <t>Video Labour</t>
        </is>
      </c>
      <c r="B39" s="9">
        <f>SUMIFS(Actuals!$P:$P,Actuals!$A:$A,$A39)</f>
        <v/>
      </c>
      <c r="C39" s="9">
        <f>SUMIFS(Actuals!$Q:$Q,Actuals!$A:$A,$A39)</f>
        <v/>
      </c>
      <c r="D39" s="9">
        <f>SUMIFS(Actuals!$R:$R,Actuals!$A:$A,$A39)</f>
        <v/>
      </c>
      <c r="E39" s="9">
        <f>SUMIFS(Actuals!$S:$S,Actuals!$A:$A,$A39)</f>
        <v/>
      </c>
      <c r="F39" s="9">
        <f>SUMIFS(Actuals!$T:$T,Actuals!$A:$A,$A39)</f>
        <v/>
      </c>
      <c r="G39" s="9">
        <f>SUMIFS(Actuals!$U:$U,Actuals!$A:$A,$A39)</f>
        <v/>
      </c>
      <c r="H39" s="9">
        <f>SUMIFS(Actuals!$V:$V,Actuals!$A:$A,$A39)</f>
        <v/>
      </c>
      <c r="I39" s="9">
        <f>SUMIFS(Actuals!$W:$W,Actuals!$A:$A,$A39)</f>
        <v/>
      </c>
      <c r="J39" s="9">
        <f>SUMIFS(Actuals!$X:$X,Actuals!$A:$A,$A39)</f>
        <v/>
      </c>
      <c r="K39" s="9">
        <f>SUMIFS(Actuals!$Y:$Y,Actuals!$A:$A,$A39)</f>
        <v/>
      </c>
      <c r="L39" s="9">
        <f>SUMIFS(Actuals!$Z:$Z,Actuals!$A:$A,$A39)</f>
        <v/>
      </c>
      <c r="M39" s="9">
        <f>SUMIFS(Actuals!$AA:$AA,Actuals!$A:$A,$A39)</f>
        <v/>
      </c>
      <c r="N39" s="10">
        <f>SUM(B39:M39)</f>
        <v/>
      </c>
    </row>
    <row r="40">
      <c r="A40" s="11" t="inlineStr">
        <is>
          <t>Total Income</t>
        </is>
      </c>
      <c r="B40" s="12">
        <f>SUM(B5:B39)</f>
        <v/>
      </c>
      <c r="C40" s="12">
        <f>SUM(C5:C39)</f>
        <v/>
      </c>
      <c r="D40" s="12">
        <f>SUM(D5:D39)</f>
        <v/>
      </c>
      <c r="E40" s="12">
        <f>SUM(E5:E39)</f>
        <v/>
      </c>
      <c r="F40" s="12">
        <f>SUM(F5:F39)</f>
        <v/>
      </c>
      <c r="G40" s="12">
        <f>SUM(G5:G39)</f>
        <v/>
      </c>
      <c r="H40" s="12">
        <f>SUM(H5:H39)</f>
        <v/>
      </c>
      <c r="I40" s="12">
        <f>SUM(I5:I39)</f>
        <v/>
      </c>
      <c r="J40" s="12">
        <f>SUM(J5:J39)</f>
        <v/>
      </c>
      <c r="K40" s="12">
        <f>SUM(K5:K39)</f>
        <v/>
      </c>
      <c r="L40" s="12">
        <f>SUM(L5:L39)</f>
        <v/>
      </c>
      <c r="M40" s="12">
        <f>SUM(M5:M39)</f>
        <v/>
      </c>
      <c r="N40" s="12">
        <f>SUM(B40:M40)</f>
        <v/>
      </c>
    </row>
    <row r="41"/>
    <row r="42">
      <c r="A42" s="7" t="inlineStr">
        <is>
          <t>COST OF SALES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5" t="inlineStr">
        <is>
          <t>Credit Card Paid - ADMIN</t>
        </is>
      </c>
      <c r="B43" s="9">
        <f>SUMIFS(Actuals!$P:$P,Actuals!$A:$A,$A43)</f>
        <v/>
      </c>
      <c r="C43" s="9">
        <f>SUMIFS(Actuals!$Q:$Q,Actuals!$A:$A,$A43)</f>
        <v/>
      </c>
      <c r="D43" s="9">
        <f>SUMIFS(Actuals!$R:$R,Actuals!$A:$A,$A43)</f>
        <v/>
      </c>
      <c r="E43" s="9">
        <f>SUMIFS(Actuals!$S:$S,Actuals!$A:$A,$A43)</f>
        <v/>
      </c>
      <c r="F43" s="9">
        <f>SUMIFS(Actuals!$T:$T,Actuals!$A:$A,$A43)</f>
        <v/>
      </c>
      <c r="G43" s="9">
        <f>SUMIFS(Actuals!$U:$U,Actuals!$A:$A,$A43)</f>
        <v/>
      </c>
      <c r="H43" s="9">
        <f>SUMIFS(Actuals!$V:$V,Actuals!$A:$A,$A43)</f>
        <v/>
      </c>
      <c r="I43" s="9">
        <f>SUMIFS(Actuals!$W:$W,Actuals!$A:$A,$A43)</f>
        <v/>
      </c>
      <c r="J43" s="9">
        <f>SUMIFS(Actuals!$X:$X,Actuals!$A:$A,$A43)</f>
        <v/>
      </c>
      <c r="K43" s="9">
        <f>SUMIFS(Actuals!$Y:$Y,Actuals!$A:$A,$A43)</f>
        <v/>
      </c>
      <c r="L43" s="9">
        <f>SUMIFS(Actuals!$Z:$Z,Actuals!$A:$A,$A43)</f>
        <v/>
      </c>
      <c r="M43" s="9">
        <f>SUMIFS(Actuals!$AA:$AA,Actuals!$A:$A,$A43)</f>
        <v/>
      </c>
      <c r="N43" s="10">
        <f>SUM(B43:M43)</f>
        <v/>
      </c>
    </row>
    <row r="44">
      <c r="A44" s="5" t="inlineStr">
        <is>
          <t>Credit Card Paid - CONS</t>
        </is>
      </c>
      <c r="B44" s="9">
        <f>SUMIFS(Actuals!$P:$P,Actuals!$A:$A,$A44)</f>
        <v/>
      </c>
      <c r="C44" s="9">
        <f>SUMIFS(Actuals!$Q:$Q,Actuals!$A:$A,$A44)</f>
        <v/>
      </c>
      <c r="D44" s="9">
        <f>SUMIFS(Actuals!$R:$R,Actuals!$A:$A,$A44)</f>
        <v/>
      </c>
      <c r="E44" s="9">
        <f>SUMIFS(Actuals!$S:$S,Actuals!$A:$A,$A44)</f>
        <v/>
      </c>
      <c r="F44" s="9">
        <f>SUMIFS(Actuals!$T:$T,Actuals!$A:$A,$A44)</f>
        <v/>
      </c>
      <c r="G44" s="9">
        <f>SUMIFS(Actuals!$U:$U,Actuals!$A:$A,$A44)</f>
        <v/>
      </c>
      <c r="H44" s="9">
        <f>SUMIFS(Actuals!$V:$V,Actuals!$A:$A,$A44)</f>
        <v/>
      </c>
      <c r="I44" s="9">
        <f>SUMIFS(Actuals!$W:$W,Actuals!$A:$A,$A44)</f>
        <v/>
      </c>
      <c r="J44" s="9">
        <f>SUMIFS(Actuals!$X:$X,Actuals!$A:$A,$A44)</f>
        <v/>
      </c>
      <c r="K44" s="9">
        <f>SUMIFS(Actuals!$Y:$Y,Actuals!$A:$A,$A44)</f>
        <v/>
      </c>
      <c r="L44" s="9">
        <f>SUMIFS(Actuals!$Z:$Z,Actuals!$A:$A,$A44)</f>
        <v/>
      </c>
      <c r="M44" s="9">
        <f>SUMIFS(Actuals!$AA:$AA,Actuals!$A:$A,$A44)</f>
        <v/>
      </c>
      <c r="N44" s="10">
        <f>SUM(B44:M44)</f>
        <v/>
      </c>
    </row>
    <row r="45">
      <c r="A45" s="5" t="inlineStr">
        <is>
          <t>Credit Card Paid - INTEGRATION</t>
        </is>
      </c>
      <c r="B45" s="9">
        <f>SUMIFS(Actuals!$P:$P,Actuals!$A:$A,$A45)</f>
        <v/>
      </c>
      <c r="C45" s="9">
        <f>SUMIFS(Actuals!$Q:$Q,Actuals!$A:$A,$A45)</f>
        <v/>
      </c>
      <c r="D45" s="9">
        <f>SUMIFS(Actuals!$R:$R,Actuals!$A:$A,$A45)</f>
        <v/>
      </c>
      <c r="E45" s="9">
        <f>SUMIFS(Actuals!$S:$S,Actuals!$A:$A,$A45)</f>
        <v/>
      </c>
      <c r="F45" s="9">
        <f>SUMIFS(Actuals!$T:$T,Actuals!$A:$A,$A45)</f>
        <v/>
      </c>
      <c r="G45" s="9">
        <f>SUMIFS(Actuals!$U:$U,Actuals!$A:$A,$A45)</f>
        <v/>
      </c>
      <c r="H45" s="9">
        <f>SUMIFS(Actuals!$V:$V,Actuals!$A:$A,$A45)</f>
        <v/>
      </c>
      <c r="I45" s="9">
        <f>SUMIFS(Actuals!$W:$W,Actuals!$A:$A,$A45)</f>
        <v/>
      </c>
      <c r="J45" s="9">
        <f>SUMIFS(Actuals!$X:$X,Actuals!$A:$A,$A45)</f>
        <v/>
      </c>
      <c r="K45" s="9">
        <f>SUMIFS(Actuals!$Y:$Y,Actuals!$A:$A,$A45)</f>
        <v/>
      </c>
      <c r="L45" s="9">
        <f>SUMIFS(Actuals!$Z:$Z,Actuals!$A:$A,$A45)</f>
        <v/>
      </c>
      <c r="M45" s="9">
        <f>SUMIFS(Actuals!$AA:$AA,Actuals!$A:$A,$A45)</f>
        <v/>
      </c>
      <c r="N45" s="10">
        <f>SUM(B45:M45)</f>
        <v/>
      </c>
    </row>
    <row r="46">
      <c r="A46" s="5" t="inlineStr">
        <is>
          <t>Credit Card Paid - ONS</t>
        </is>
      </c>
      <c r="B46" s="9">
        <f>SUMIFS(Actuals!$P:$P,Actuals!$A:$A,$A46)</f>
        <v/>
      </c>
      <c r="C46" s="9">
        <f>SUMIFS(Actuals!$Q:$Q,Actuals!$A:$A,$A46)</f>
        <v/>
      </c>
      <c r="D46" s="9">
        <f>SUMIFS(Actuals!$R:$R,Actuals!$A:$A,$A46)</f>
        <v/>
      </c>
      <c r="E46" s="9">
        <f>SUMIFS(Actuals!$S:$S,Actuals!$A:$A,$A46)</f>
        <v/>
      </c>
      <c r="F46" s="9">
        <f>SUMIFS(Actuals!$T:$T,Actuals!$A:$A,$A46)</f>
        <v/>
      </c>
      <c r="G46" s="9">
        <f>SUMIFS(Actuals!$U:$U,Actuals!$A:$A,$A46)</f>
        <v/>
      </c>
      <c r="H46" s="9">
        <f>SUMIFS(Actuals!$V:$V,Actuals!$A:$A,$A46)</f>
        <v/>
      </c>
      <c r="I46" s="9">
        <f>SUMIFS(Actuals!$W:$W,Actuals!$A:$A,$A46)</f>
        <v/>
      </c>
      <c r="J46" s="9">
        <f>SUMIFS(Actuals!$X:$X,Actuals!$A:$A,$A46)</f>
        <v/>
      </c>
      <c r="K46" s="9">
        <f>SUMIFS(Actuals!$Y:$Y,Actuals!$A:$A,$A46)</f>
        <v/>
      </c>
      <c r="L46" s="9">
        <f>SUMIFS(Actuals!$Z:$Z,Actuals!$A:$A,$A46)</f>
        <v/>
      </c>
      <c r="M46" s="9">
        <f>SUMIFS(Actuals!$AA:$AA,Actuals!$A:$A,$A46)</f>
        <v/>
      </c>
      <c r="N46" s="10">
        <f>SUM(B46:M46)</f>
        <v/>
      </c>
    </row>
    <row r="47">
      <c r="A47" s="5" t="inlineStr">
        <is>
          <t>Credit Card Paid - PRD</t>
        </is>
      </c>
      <c r="B47" s="9">
        <f>SUMIFS(Actuals!$P:$P,Actuals!$A:$A,$A47)</f>
        <v/>
      </c>
      <c r="C47" s="9">
        <f>SUMIFS(Actuals!$Q:$Q,Actuals!$A:$A,$A47)</f>
        <v/>
      </c>
      <c r="D47" s="9">
        <f>SUMIFS(Actuals!$R:$R,Actuals!$A:$A,$A47)</f>
        <v/>
      </c>
      <c r="E47" s="9">
        <f>SUMIFS(Actuals!$S:$S,Actuals!$A:$A,$A47)</f>
        <v/>
      </c>
      <c r="F47" s="9">
        <f>SUMIFS(Actuals!$T:$T,Actuals!$A:$A,$A47)</f>
        <v/>
      </c>
      <c r="G47" s="9">
        <f>SUMIFS(Actuals!$U:$U,Actuals!$A:$A,$A47)</f>
        <v/>
      </c>
      <c r="H47" s="9">
        <f>SUMIFS(Actuals!$V:$V,Actuals!$A:$A,$A47)</f>
        <v/>
      </c>
      <c r="I47" s="9">
        <f>SUMIFS(Actuals!$W:$W,Actuals!$A:$A,$A47)</f>
        <v/>
      </c>
      <c r="J47" s="9">
        <f>SUMIFS(Actuals!$X:$X,Actuals!$A:$A,$A47)</f>
        <v/>
      </c>
      <c r="K47" s="9">
        <f>SUMIFS(Actuals!$Y:$Y,Actuals!$A:$A,$A47)</f>
        <v/>
      </c>
      <c r="L47" s="9">
        <f>SUMIFS(Actuals!$Z:$Z,Actuals!$A:$A,$A47)</f>
        <v/>
      </c>
      <c r="M47" s="9">
        <f>SUMIFS(Actuals!$AA:$AA,Actuals!$A:$A,$A47)</f>
        <v/>
      </c>
      <c r="N47" s="10">
        <f>SUM(B47:M47)</f>
        <v/>
      </c>
    </row>
    <row r="48">
      <c r="A48" s="5" t="inlineStr">
        <is>
          <t>Credit Card Paid - VID</t>
        </is>
      </c>
      <c r="B48" s="9">
        <f>SUMIFS(Actuals!$P:$P,Actuals!$A:$A,$A48)</f>
        <v/>
      </c>
      <c r="C48" s="9">
        <f>SUMIFS(Actuals!$Q:$Q,Actuals!$A:$A,$A48)</f>
        <v/>
      </c>
      <c r="D48" s="9">
        <f>SUMIFS(Actuals!$R:$R,Actuals!$A:$A,$A48)</f>
        <v/>
      </c>
      <c r="E48" s="9">
        <f>SUMIFS(Actuals!$S:$S,Actuals!$A:$A,$A48)</f>
        <v/>
      </c>
      <c r="F48" s="9">
        <f>SUMIFS(Actuals!$T:$T,Actuals!$A:$A,$A48)</f>
        <v/>
      </c>
      <c r="G48" s="9">
        <f>SUMIFS(Actuals!$U:$U,Actuals!$A:$A,$A48)</f>
        <v/>
      </c>
      <c r="H48" s="9">
        <f>SUMIFS(Actuals!$V:$V,Actuals!$A:$A,$A48)</f>
        <v/>
      </c>
      <c r="I48" s="9">
        <f>SUMIFS(Actuals!$W:$W,Actuals!$A:$A,$A48)</f>
        <v/>
      </c>
      <c r="J48" s="9">
        <f>SUMIFS(Actuals!$X:$X,Actuals!$A:$A,$A48)</f>
        <v/>
      </c>
      <c r="K48" s="9">
        <f>SUMIFS(Actuals!$Y:$Y,Actuals!$A:$A,$A48)</f>
        <v/>
      </c>
      <c r="L48" s="9">
        <f>SUMIFS(Actuals!$Z:$Z,Actuals!$A:$A,$A48)</f>
        <v/>
      </c>
      <c r="M48" s="9">
        <f>SUMIFS(Actuals!$AA:$AA,Actuals!$A:$A,$A48)</f>
        <v/>
      </c>
      <c r="N48" s="10">
        <f>SUM(B48:M48)</f>
        <v/>
      </c>
    </row>
    <row r="49">
      <c r="A49" s="5" t="inlineStr">
        <is>
          <t>Damage Waiver</t>
        </is>
      </c>
      <c r="B49" s="9">
        <f>SUMIFS(Actuals!$P:$P,Actuals!$A:$A,$A49)</f>
        <v/>
      </c>
      <c r="C49" s="9">
        <f>SUMIFS(Actuals!$Q:$Q,Actuals!$A:$A,$A49)</f>
        <v/>
      </c>
      <c r="D49" s="9">
        <f>SUMIFS(Actuals!$R:$R,Actuals!$A:$A,$A49)</f>
        <v/>
      </c>
      <c r="E49" s="9">
        <f>SUMIFS(Actuals!$S:$S,Actuals!$A:$A,$A49)</f>
        <v/>
      </c>
      <c r="F49" s="9">
        <f>SUMIFS(Actuals!$T:$T,Actuals!$A:$A,$A49)</f>
        <v/>
      </c>
      <c r="G49" s="9">
        <f>SUMIFS(Actuals!$U:$U,Actuals!$A:$A,$A49)</f>
        <v/>
      </c>
      <c r="H49" s="9">
        <f>SUMIFS(Actuals!$V:$V,Actuals!$A:$A,$A49)</f>
        <v/>
      </c>
      <c r="I49" s="9">
        <f>SUMIFS(Actuals!$W:$W,Actuals!$A:$A,$A49)</f>
        <v/>
      </c>
      <c r="J49" s="9">
        <f>SUMIFS(Actuals!$X:$X,Actuals!$A:$A,$A49)</f>
        <v/>
      </c>
      <c r="K49" s="9">
        <f>SUMIFS(Actuals!$Y:$Y,Actuals!$A:$A,$A49)</f>
        <v/>
      </c>
      <c r="L49" s="9">
        <f>SUMIFS(Actuals!$Z:$Z,Actuals!$A:$A,$A49)</f>
        <v/>
      </c>
      <c r="M49" s="9">
        <f>SUMIFS(Actuals!$AA:$AA,Actuals!$A:$A,$A49)</f>
        <v/>
      </c>
      <c r="N49" s="10">
        <f>SUM(B49:M49)</f>
        <v/>
      </c>
    </row>
    <row r="50">
      <c r="A50" s="5" t="inlineStr">
        <is>
          <t>Direct Freight - ADMIN</t>
        </is>
      </c>
      <c r="B50" s="9">
        <f>SUMIFS(Actuals!$P:$P,Actuals!$A:$A,$A50)</f>
        <v/>
      </c>
      <c r="C50" s="9">
        <f>SUMIFS(Actuals!$Q:$Q,Actuals!$A:$A,$A50)</f>
        <v/>
      </c>
      <c r="D50" s="9">
        <f>SUMIFS(Actuals!$R:$R,Actuals!$A:$A,$A50)</f>
        <v/>
      </c>
      <c r="E50" s="9">
        <f>SUMIFS(Actuals!$S:$S,Actuals!$A:$A,$A50)</f>
        <v/>
      </c>
      <c r="F50" s="9">
        <f>SUMIFS(Actuals!$T:$T,Actuals!$A:$A,$A50)</f>
        <v/>
      </c>
      <c r="G50" s="9">
        <f>SUMIFS(Actuals!$U:$U,Actuals!$A:$A,$A50)</f>
        <v/>
      </c>
      <c r="H50" s="9">
        <f>SUMIFS(Actuals!$V:$V,Actuals!$A:$A,$A50)</f>
        <v/>
      </c>
      <c r="I50" s="9">
        <f>SUMIFS(Actuals!$W:$W,Actuals!$A:$A,$A50)</f>
        <v/>
      </c>
      <c r="J50" s="9">
        <f>SUMIFS(Actuals!$X:$X,Actuals!$A:$A,$A50)</f>
        <v/>
      </c>
      <c r="K50" s="9">
        <f>SUMIFS(Actuals!$Y:$Y,Actuals!$A:$A,$A50)</f>
        <v/>
      </c>
      <c r="L50" s="9">
        <f>SUMIFS(Actuals!$Z:$Z,Actuals!$A:$A,$A50)</f>
        <v/>
      </c>
      <c r="M50" s="9">
        <f>SUMIFS(Actuals!$AA:$AA,Actuals!$A:$A,$A50)</f>
        <v/>
      </c>
      <c r="N50" s="10">
        <f>SUM(B50:M50)</f>
        <v/>
      </c>
    </row>
    <row r="51">
      <c r="A51" s="5" t="inlineStr">
        <is>
          <t>Direct Freight - CONS</t>
        </is>
      </c>
      <c r="B51" s="9">
        <f>SUMIFS(Actuals!$P:$P,Actuals!$A:$A,$A51)</f>
        <v/>
      </c>
      <c r="C51" s="9">
        <f>SUMIFS(Actuals!$Q:$Q,Actuals!$A:$A,$A51)</f>
        <v/>
      </c>
      <c r="D51" s="9">
        <f>SUMIFS(Actuals!$R:$R,Actuals!$A:$A,$A51)</f>
        <v/>
      </c>
      <c r="E51" s="9">
        <f>SUMIFS(Actuals!$S:$S,Actuals!$A:$A,$A51)</f>
        <v/>
      </c>
      <c r="F51" s="9">
        <f>SUMIFS(Actuals!$T:$T,Actuals!$A:$A,$A51)</f>
        <v/>
      </c>
      <c r="G51" s="9">
        <f>SUMIFS(Actuals!$U:$U,Actuals!$A:$A,$A51)</f>
        <v/>
      </c>
      <c r="H51" s="9">
        <f>SUMIFS(Actuals!$V:$V,Actuals!$A:$A,$A51)</f>
        <v/>
      </c>
      <c r="I51" s="9">
        <f>SUMIFS(Actuals!$W:$W,Actuals!$A:$A,$A51)</f>
        <v/>
      </c>
      <c r="J51" s="9">
        <f>SUMIFS(Actuals!$X:$X,Actuals!$A:$A,$A51)</f>
        <v/>
      </c>
      <c r="K51" s="9">
        <f>SUMIFS(Actuals!$Y:$Y,Actuals!$A:$A,$A51)</f>
        <v/>
      </c>
      <c r="L51" s="9">
        <f>SUMIFS(Actuals!$Z:$Z,Actuals!$A:$A,$A51)</f>
        <v/>
      </c>
      <c r="M51" s="9">
        <f>SUMIFS(Actuals!$AA:$AA,Actuals!$A:$A,$A51)</f>
        <v/>
      </c>
      <c r="N51" s="10">
        <f>SUM(B51:M51)</f>
        <v/>
      </c>
    </row>
    <row r="52">
      <c r="A52" s="5" t="inlineStr">
        <is>
          <t>Direct Freight - INTEGRATION</t>
        </is>
      </c>
      <c r="B52" s="9">
        <f>SUMIFS(Actuals!$P:$P,Actuals!$A:$A,$A52)</f>
        <v/>
      </c>
      <c r="C52" s="9">
        <f>SUMIFS(Actuals!$Q:$Q,Actuals!$A:$A,$A52)</f>
        <v/>
      </c>
      <c r="D52" s="9">
        <f>SUMIFS(Actuals!$R:$R,Actuals!$A:$A,$A52)</f>
        <v/>
      </c>
      <c r="E52" s="9">
        <f>SUMIFS(Actuals!$S:$S,Actuals!$A:$A,$A52)</f>
        <v/>
      </c>
      <c r="F52" s="9">
        <f>SUMIFS(Actuals!$T:$T,Actuals!$A:$A,$A52)</f>
        <v/>
      </c>
      <c r="G52" s="9">
        <f>SUMIFS(Actuals!$U:$U,Actuals!$A:$A,$A52)</f>
        <v/>
      </c>
      <c r="H52" s="9">
        <f>SUMIFS(Actuals!$V:$V,Actuals!$A:$A,$A52)</f>
        <v/>
      </c>
      <c r="I52" s="9">
        <f>SUMIFS(Actuals!$W:$W,Actuals!$A:$A,$A52)</f>
        <v/>
      </c>
      <c r="J52" s="9">
        <f>SUMIFS(Actuals!$X:$X,Actuals!$A:$A,$A52)</f>
        <v/>
      </c>
      <c r="K52" s="9">
        <f>SUMIFS(Actuals!$Y:$Y,Actuals!$A:$A,$A52)</f>
        <v/>
      </c>
      <c r="L52" s="9">
        <f>SUMIFS(Actuals!$Z:$Z,Actuals!$A:$A,$A52)</f>
        <v/>
      </c>
      <c r="M52" s="9">
        <f>SUMIFS(Actuals!$AA:$AA,Actuals!$A:$A,$A52)</f>
        <v/>
      </c>
      <c r="N52" s="10">
        <f>SUM(B52:M52)</f>
        <v/>
      </c>
    </row>
    <row r="53">
      <c r="A53" s="5" t="inlineStr">
        <is>
          <t>Direct Freight - ONS</t>
        </is>
      </c>
      <c r="B53" s="9">
        <f>SUMIFS(Actuals!$P:$P,Actuals!$A:$A,$A53)</f>
        <v/>
      </c>
      <c r="C53" s="9">
        <f>SUMIFS(Actuals!$Q:$Q,Actuals!$A:$A,$A53)</f>
        <v/>
      </c>
      <c r="D53" s="9">
        <f>SUMIFS(Actuals!$R:$R,Actuals!$A:$A,$A53)</f>
        <v/>
      </c>
      <c r="E53" s="9">
        <f>SUMIFS(Actuals!$S:$S,Actuals!$A:$A,$A53)</f>
        <v/>
      </c>
      <c r="F53" s="9">
        <f>SUMIFS(Actuals!$T:$T,Actuals!$A:$A,$A53)</f>
        <v/>
      </c>
      <c r="G53" s="9">
        <f>SUMIFS(Actuals!$U:$U,Actuals!$A:$A,$A53)</f>
        <v/>
      </c>
      <c r="H53" s="9">
        <f>SUMIFS(Actuals!$V:$V,Actuals!$A:$A,$A53)</f>
        <v/>
      </c>
      <c r="I53" s="9">
        <f>SUMIFS(Actuals!$W:$W,Actuals!$A:$A,$A53)</f>
        <v/>
      </c>
      <c r="J53" s="9">
        <f>SUMIFS(Actuals!$X:$X,Actuals!$A:$A,$A53)</f>
        <v/>
      </c>
      <c r="K53" s="9">
        <f>SUMIFS(Actuals!$Y:$Y,Actuals!$A:$A,$A53)</f>
        <v/>
      </c>
      <c r="L53" s="9">
        <f>SUMIFS(Actuals!$Z:$Z,Actuals!$A:$A,$A53)</f>
        <v/>
      </c>
      <c r="M53" s="9">
        <f>SUMIFS(Actuals!$AA:$AA,Actuals!$A:$A,$A53)</f>
        <v/>
      </c>
      <c r="N53" s="10">
        <f>SUM(B53:M53)</f>
        <v/>
      </c>
    </row>
    <row r="54">
      <c r="A54" s="5" t="inlineStr">
        <is>
          <t>Direct Freight - PRD</t>
        </is>
      </c>
      <c r="B54" s="9">
        <f>SUMIFS(Actuals!$P:$P,Actuals!$A:$A,$A54)</f>
        <v/>
      </c>
      <c r="C54" s="9">
        <f>SUMIFS(Actuals!$Q:$Q,Actuals!$A:$A,$A54)</f>
        <v/>
      </c>
      <c r="D54" s="9">
        <f>SUMIFS(Actuals!$R:$R,Actuals!$A:$A,$A54)</f>
        <v/>
      </c>
      <c r="E54" s="9">
        <f>SUMIFS(Actuals!$S:$S,Actuals!$A:$A,$A54)</f>
        <v/>
      </c>
      <c r="F54" s="9">
        <f>SUMIFS(Actuals!$T:$T,Actuals!$A:$A,$A54)</f>
        <v/>
      </c>
      <c r="G54" s="9">
        <f>SUMIFS(Actuals!$U:$U,Actuals!$A:$A,$A54)</f>
        <v/>
      </c>
      <c r="H54" s="9">
        <f>SUMIFS(Actuals!$V:$V,Actuals!$A:$A,$A54)</f>
        <v/>
      </c>
      <c r="I54" s="9">
        <f>SUMIFS(Actuals!$W:$W,Actuals!$A:$A,$A54)</f>
        <v/>
      </c>
      <c r="J54" s="9">
        <f>SUMIFS(Actuals!$X:$X,Actuals!$A:$A,$A54)</f>
        <v/>
      </c>
      <c r="K54" s="9">
        <f>SUMIFS(Actuals!$Y:$Y,Actuals!$A:$A,$A54)</f>
        <v/>
      </c>
      <c r="L54" s="9">
        <f>SUMIFS(Actuals!$Z:$Z,Actuals!$A:$A,$A54)</f>
        <v/>
      </c>
      <c r="M54" s="9">
        <f>SUMIFS(Actuals!$AA:$AA,Actuals!$A:$A,$A54)</f>
        <v/>
      </c>
      <c r="N54" s="10">
        <f>SUM(B54:M54)</f>
        <v/>
      </c>
    </row>
    <row r="55">
      <c r="A55" s="5" t="inlineStr">
        <is>
          <t>Direct Freight - VID</t>
        </is>
      </c>
      <c r="B55" s="9">
        <f>SUMIFS(Actuals!$P:$P,Actuals!$A:$A,$A55)</f>
        <v/>
      </c>
      <c r="C55" s="9">
        <f>SUMIFS(Actuals!$Q:$Q,Actuals!$A:$A,$A55)</f>
        <v/>
      </c>
      <c r="D55" s="9">
        <f>SUMIFS(Actuals!$R:$R,Actuals!$A:$A,$A55)</f>
        <v/>
      </c>
      <c r="E55" s="9">
        <f>SUMIFS(Actuals!$S:$S,Actuals!$A:$A,$A55)</f>
        <v/>
      </c>
      <c r="F55" s="9">
        <f>SUMIFS(Actuals!$T:$T,Actuals!$A:$A,$A55)</f>
        <v/>
      </c>
      <c r="G55" s="9">
        <f>SUMIFS(Actuals!$U:$U,Actuals!$A:$A,$A55)</f>
        <v/>
      </c>
      <c r="H55" s="9">
        <f>SUMIFS(Actuals!$V:$V,Actuals!$A:$A,$A55)</f>
        <v/>
      </c>
      <c r="I55" s="9">
        <f>SUMIFS(Actuals!$W:$W,Actuals!$A:$A,$A55)</f>
        <v/>
      </c>
      <c r="J55" s="9">
        <f>SUMIFS(Actuals!$X:$X,Actuals!$A:$A,$A55)</f>
        <v/>
      </c>
      <c r="K55" s="9">
        <f>SUMIFS(Actuals!$Y:$Y,Actuals!$A:$A,$A55)</f>
        <v/>
      </c>
      <c r="L55" s="9">
        <f>SUMIFS(Actuals!$Z:$Z,Actuals!$A:$A,$A55)</f>
        <v/>
      </c>
      <c r="M55" s="9">
        <f>SUMIFS(Actuals!$AA:$AA,Actuals!$A:$A,$A55)</f>
        <v/>
      </c>
      <c r="N55" s="10">
        <f>SUM(B55:M55)</f>
        <v/>
      </c>
    </row>
    <row r="56">
      <c r="A56" s="5" t="inlineStr">
        <is>
          <t>Direct Mobile - CONS</t>
        </is>
      </c>
      <c r="B56" s="9">
        <f>SUMIFS(Actuals!$P:$P,Actuals!$A:$A,$A56)</f>
        <v/>
      </c>
      <c r="C56" s="9">
        <f>SUMIFS(Actuals!$Q:$Q,Actuals!$A:$A,$A56)</f>
        <v/>
      </c>
      <c r="D56" s="9">
        <f>SUMIFS(Actuals!$R:$R,Actuals!$A:$A,$A56)</f>
        <v/>
      </c>
      <c r="E56" s="9">
        <f>SUMIFS(Actuals!$S:$S,Actuals!$A:$A,$A56)</f>
        <v/>
      </c>
      <c r="F56" s="9">
        <f>SUMIFS(Actuals!$T:$T,Actuals!$A:$A,$A56)</f>
        <v/>
      </c>
      <c r="G56" s="9">
        <f>SUMIFS(Actuals!$U:$U,Actuals!$A:$A,$A56)</f>
        <v/>
      </c>
      <c r="H56" s="9">
        <f>SUMIFS(Actuals!$V:$V,Actuals!$A:$A,$A56)</f>
        <v/>
      </c>
      <c r="I56" s="9">
        <f>SUMIFS(Actuals!$W:$W,Actuals!$A:$A,$A56)</f>
        <v/>
      </c>
      <c r="J56" s="9">
        <f>SUMIFS(Actuals!$X:$X,Actuals!$A:$A,$A56)</f>
        <v/>
      </c>
      <c r="K56" s="9">
        <f>SUMIFS(Actuals!$Y:$Y,Actuals!$A:$A,$A56)</f>
        <v/>
      </c>
      <c r="L56" s="9">
        <f>SUMIFS(Actuals!$Z:$Z,Actuals!$A:$A,$A56)</f>
        <v/>
      </c>
      <c r="M56" s="9">
        <f>SUMIFS(Actuals!$AA:$AA,Actuals!$A:$A,$A56)</f>
        <v/>
      </c>
      <c r="N56" s="10">
        <f>SUM(B56:M56)</f>
        <v/>
      </c>
    </row>
    <row r="57">
      <c r="A57" s="5" t="inlineStr">
        <is>
          <t>Direct Mobile - INTEGRATION</t>
        </is>
      </c>
      <c r="B57" s="9">
        <f>SUMIFS(Actuals!$P:$P,Actuals!$A:$A,$A57)</f>
        <v/>
      </c>
      <c r="C57" s="9">
        <f>SUMIFS(Actuals!$Q:$Q,Actuals!$A:$A,$A57)</f>
        <v/>
      </c>
      <c r="D57" s="9">
        <f>SUMIFS(Actuals!$R:$R,Actuals!$A:$A,$A57)</f>
        <v/>
      </c>
      <c r="E57" s="9">
        <f>SUMIFS(Actuals!$S:$S,Actuals!$A:$A,$A57)</f>
        <v/>
      </c>
      <c r="F57" s="9">
        <f>SUMIFS(Actuals!$T:$T,Actuals!$A:$A,$A57)</f>
        <v/>
      </c>
      <c r="G57" s="9">
        <f>SUMIFS(Actuals!$U:$U,Actuals!$A:$A,$A57)</f>
        <v/>
      </c>
      <c r="H57" s="9">
        <f>SUMIFS(Actuals!$V:$V,Actuals!$A:$A,$A57)</f>
        <v/>
      </c>
      <c r="I57" s="9">
        <f>SUMIFS(Actuals!$W:$W,Actuals!$A:$A,$A57)</f>
        <v/>
      </c>
      <c r="J57" s="9">
        <f>SUMIFS(Actuals!$X:$X,Actuals!$A:$A,$A57)</f>
        <v/>
      </c>
      <c r="K57" s="9">
        <f>SUMIFS(Actuals!$Y:$Y,Actuals!$A:$A,$A57)</f>
        <v/>
      </c>
      <c r="L57" s="9">
        <f>SUMIFS(Actuals!$Z:$Z,Actuals!$A:$A,$A57)</f>
        <v/>
      </c>
      <c r="M57" s="9">
        <f>SUMIFS(Actuals!$AA:$AA,Actuals!$A:$A,$A57)</f>
        <v/>
      </c>
      <c r="N57" s="10">
        <f>SUM(B57:M57)</f>
        <v/>
      </c>
    </row>
    <row r="58">
      <c r="A58" s="5" t="inlineStr">
        <is>
          <t>Direct Mobile - ONS</t>
        </is>
      </c>
      <c r="B58" s="9">
        <f>SUMIFS(Actuals!$P:$P,Actuals!$A:$A,$A58)</f>
        <v/>
      </c>
      <c r="C58" s="9">
        <f>SUMIFS(Actuals!$Q:$Q,Actuals!$A:$A,$A58)</f>
        <v/>
      </c>
      <c r="D58" s="9">
        <f>SUMIFS(Actuals!$R:$R,Actuals!$A:$A,$A58)</f>
        <v/>
      </c>
      <c r="E58" s="9">
        <f>SUMIFS(Actuals!$S:$S,Actuals!$A:$A,$A58)</f>
        <v/>
      </c>
      <c r="F58" s="9">
        <f>SUMIFS(Actuals!$T:$T,Actuals!$A:$A,$A58)</f>
        <v/>
      </c>
      <c r="G58" s="9">
        <f>SUMIFS(Actuals!$U:$U,Actuals!$A:$A,$A58)</f>
        <v/>
      </c>
      <c r="H58" s="9">
        <f>SUMIFS(Actuals!$V:$V,Actuals!$A:$A,$A58)</f>
        <v/>
      </c>
      <c r="I58" s="9">
        <f>SUMIFS(Actuals!$W:$W,Actuals!$A:$A,$A58)</f>
        <v/>
      </c>
      <c r="J58" s="9">
        <f>SUMIFS(Actuals!$X:$X,Actuals!$A:$A,$A58)</f>
        <v/>
      </c>
      <c r="K58" s="9">
        <f>SUMIFS(Actuals!$Y:$Y,Actuals!$A:$A,$A58)</f>
        <v/>
      </c>
      <c r="L58" s="9">
        <f>SUMIFS(Actuals!$Z:$Z,Actuals!$A:$A,$A58)</f>
        <v/>
      </c>
      <c r="M58" s="9">
        <f>SUMIFS(Actuals!$AA:$AA,Actuals!$A:$A,$A58)</f>
        <v/>
      </c>
      <c r="N58" s="10">
        <f>SUM(B58:M58)</f>
        <v/>
      </c>
    </row>
    <row r="59">
      <c r="A59" s="5" t="inlineStr">
        <is>
          <t>Direct Mobile - PRD</t>
        </is>
      </c>
      <c r="B59" s="9">
        <f>SUMIFS(Actuals!$P:$P,Actuals!$A:$A,$A59)</f>
        <v/>
      </c>
      <c r="C59" s="9">
        <f>SUMIFS(Actuals!$Q:$Q,Actuals!$A:$A,$A59)</f>
        <v/>
      </c>
      <c r="D59" s="9">
        <f>SUMIFS(Actuals!$R:$R,Actuals!$A:$A,$A59)</f>
        <v/>
      </c>
      <c r="E59" s="9">
        <f>SUMIFS(Actuals!$S:$S,Actuals!$A:$A,$A59)</f>
        <v/>
      </c>
      <c r="F59" s="9">
        <f>SUMIFS(Actuals!$T:$T,Actuals!$A:$A,$A59)</f>
        <v/>
      </c>
      <c r="G59" s="9">
        <f>SUMIFS(Actuals!$U:$U,Actuals!$A:$A,$A59)</f>
        <v/>
      </c>
      <c r="H59" s="9">
        <f>SUMIFS(Actuals!$V:$V,Actuals!$A:$A,$A59)</f>
        <v/>
      </c>
      <c r="I59" s="9">
        <f>SUMIFS(Actuals!$W:$W,Actuals!$A:$A,$A59)</f>
        <v/>
      </c>
      <c r="J59" s="9">
        <f>SUMIFS(Actuals!$X:$X,Actuals!$A:$A,$A59)</f>
        <v/>
      </c>
      <c r="K59" s="9">
        <f>SUMIFS(Actuals!$Y:$Y,Actuals!$A:$A,$A59)</f>
        <v/>
      </c>
      <c r="L59" s="9">
        <f>SUMIFS(Actuals!$Z:$Z,Actuals!$A:$A,$A59)</f>
        <v/>
      </c>
      <c r="M59" s="9">
        <f>SUMIFS(Actuals!$AA:$AA,Actuals!$A:$A,$A59)</f>
        <v/>
      </c>
      <c r="N59" s="10">
        <f>SUM(B59:M59)</f>
        <v/>
      </c>
    </row>
    <row r="60">
      <c r="A60" s="5" t="inlineStr">
        <is>
          <t>Direct Mobile - VID</t>
        </is>
      </c>
      <c r="B60" s="9">
        <f>SUMIFS(Actuals!$P:$P,Actuals!$A:$A,$A60)</f>
        <v/>
      </c>
      <c r="C60" s="9">
        <f>SUMIFS(Actuals!$Q:$Q,Actuals!$A:$A,$A60)</f>
        <v/>
      </c>
      <c r="D60" s="9">
        <f>SUMIFS(Actuals!$R:$R,Actuals!$A:$A,$A60)</f>
        <v/>
      </c>
      <c r="E60" s="9">
        <f>SUMIFS(Actuals!$S:$S,Actuals!$A:$A,$A60)</f>
        <v/>
      </c>
      <c r="F60" s="9">
        <f>SUMIFS(Actuals!$T:$T,Actuals!$A:$A,$A60)</f>
        <v/>
      </c>
      <c r="G60" s="9">
        <f>SUMIFS(Actuals!$U:$U,Actuals!$A:$A,$A60)</f>
        <v/>
      </c>
      <c r="H60" s="9">
        <f>SUMIFS(Actuals!$V:$V,Actuals!$A:$A,$A60)</f>
        <v/>
      </c>
      <c r="I60" s="9">
        <f>SUMIFS(Actuals!$W:$W,Actuals!$A:$A,$A60)</f>
        <v/>
      </c>
      <c r="J60" s="9">
        <f>SUMIFS(Actuals!$X:$X,Actuals!$A:$A,$A60)</f>
        <v/>
      </c>
      <c r="K60" s="9">
        <f>SUMIFS(Actuals!$Y:$Y,Actuals!$A:$A,$A60)</f>
        <v/>
      </c>
      <c r="L60" s="9">
        <f>SUMIFS(Actuals!$Z:$Z,Actuals!$A:$A,$A60)</f>
        <v/>
      </c>
      <c r="M60" s="9">
        <f>SUMIFS(Actuals!$AA:$AA,Actuals!$A:$A,$A60)</f>
        <v/>
      </c>
      <c r="N60" s="10">
        <f>SUM(B60:M60)</f>
        <v/>
      </c>
    </row>
    <row r="61">
      <c r="A61" s="5" t="inlineStr">
        <is>
          <t>Direct Salaries - ADMIN</t>
        </is>
      </c>
      <c r="B61" s="9">
        <f>SUMIFS(Actuals!$P:$P,Actuals!$A:$A,$A61)</f>
        <v/>
      </c>
      <c r="C61" s="9">
        <f>SUMIFS(Actuals!$Q:$Q,Actuals!$A:$A,$A61)</f>
        <v/>
      </c>
      <c r="D61" s="9">
        <f>SUMIFS(Actuals!$R:$R,Actuals!$A:$A,$A61)</f>
        <v/>
      </c>
      <c r="E61" s="9">
        <f>SUMIFS(Actuals!$S:$S,Actuals!$A:$A,$A61)</f>
        <v/>
      </c>
      <c r="F61" s="9">
        <f>SUMIFS(Actuals!$T:$T,Actuals!$A:$A,$A61)</f>
        <v/>
      </c>
      <c r="G61" s="9">
        <f>SUMIFS(Actuals!$U:$U,Actuals!$A:$A,$A61)</f>
        <v/>
      </c>
      <c r="H61" s="9">
        <f>SUMIFS(Actuals!$V:$V,Actuals!$A:$A,$A61)</f>
        <v/>
      </c>
      <c r="I61" s="9">
        <f>SUMIFS(Actuals!$W:$W,Actuals!$A:$A,$A61)</f>
        <v/>
      </c>
      <c r="J61" s="9">
        <f>SUMIFS(Actuals!$X:$X,Actuals!$A:$A,$A61)</f>
        <v/>
      </c>
      <c r="K61" s="9">
        <f>SUMIFS(Actuals!$Y:$Y,Actuals!$A:$A,$A61)</f>
        <v/>
      </c>
      <c r="L61" s="9">
        <f>SUMIFS(Actuals!$Z:$Z,Actuals!$A:$A,$A61)</f>
        <v/>
      </c>
      <c r="M61" s="9">
        <f>SUMIFS(Actuals!$AA:$AA,Actuals!$A:$A,$A61)</f>
        <v/>
      </c>
      <c r="N61" s="10">
        <f>SUM(B61:M61)</f>
        <v/>
      </c>
    </row>
    <row r="62">
      <c r="A62" s="5" t="inlineStr">
        <is>
          <t>Direct Salaries - CONS</t>
        </is>
      </c>
      <c r="B62" s="9">
        <f>SUMIFS(Actuals!$P:$P,Actuals!$A:$A,$A62)</f>
        <v/>
      </c>
      <c r="C62" s="9">
        <f>SUMIFS(Actuals!$Q:$Q,Actuals!$A:$A,$A62)</f>
        <v/>
      </c>
      <c r="D62" s="9">
        <f>SUMIFS(Actuals!$R:$R,Actuals!$A:$A,$A62)</f>
        <v/>
      </c>
      <c r="E62" s="9">
        <f>SUMIFS(Actuals!$S:$S,Actuals!$A:$A,$A62)</f>
        <v/>
      </c>
      <c r="F62" s="9">
        <f>SUMIFS(Actuals!$T:$T,Actuals!$A:$A,$A62)</f>
        <v/>
      </c>
      <c r="G62" s="9">
        <f>SUMIFS(Actuals!$U:$U,Actuals!$A:$A,$A62)</f>
        <v/>
      </c>
      <c r="H62" s="9">
        <f>SUMIFS(Actuals!$V:$V,Actuals!$A:$A,$A62)</f>
        <v/>
      </c>
      <c r="I62" s="9">
        <f>SUMIFS(Actuals!$W:$W,Actuals!$A:$A,$A62)</f>
        <v/>
      </c>
      <c r="J62" s="9">
        <f>SUMIFS(Actuals!$X:$X,Actuals!$A:$A,$A62)</f>
        <v/>
      </c>
      <c r="K62" s="9">
        <f>SUMIFS(Actuals!$Y:$Y,Actuals!$A:$A,$A62)</f>
        <v/>
      </c>
      <c r="L62" s="9">
        <f>SUMIFS(Actuals!$Z:$Z,Actuals!$A:$A,$A62)</f>
        <v/>
      </c>
      <c r="M62" s="9">
        <f>SUMIFS(Actuals!$AA:$AA,Actuals!$A:$A,$A62)</f>
        <v/>
      </c>
      <c r="N62" s="10">
        <f>SUM(B62:M62)</f>
        <v/>
      </c>
    </row>
    <row r="63">
      <c r="A63" s="5" t="inlineStr">
        <is>
          <t>Direct Salaries - INTEGRATION</t>
        </is>
      </c>
      <c r="B63" s="9">
        <f>SUMIFS(Actuals!$P:$P,Actuals!$A:$A,$A63)</f>
        <v/>
      </c>
      <c r="C63" s="9">
        <f>SUMIFS(Actuals!$Q:$Q,Actuals!$A:$A,$A63)</f>
        <v/>
      </c>
      <c r="D63" s="9">
        <f>SUMIFS(Actuals!$R:$R,Actuals!$A:$A,$A63)</f>
        <v/>
      </c>
      <c r="E63" s="9">
        <f>SUMIFS(Actuals!$S:$S,Actuals!$A:$A,$A63)</f>
        <v/>
      </c>
      <c r="F63" s="9">
        <f>SUMIFS(Actuals!$T:$T,Actuals!$A:$A,$A63)</f>
        <v/>
      </c>
      <c r="G63" s="9">
        <f>SUMIFS(Actuals!$U:$U,Actuals!$A:$A,$A63)</f>
        <v/>
      </c>
      <c r="H63" s="9">
        <f>SUMIFS(Actuals!$V:$V,Actuals!$A:$A,$A63)</f>
        <v/>
      </c>
      <c r="I63" s="9">
        <f>SUMIFS(Actuals!$W:$W,Actuals!$A:$A,$A63)</f>
        <v/>
      </c>
      <c r="J63" s="9">
        <f>SUMIFS(Actuals!$X:$X,Actuals!$A:$A,$A63)</f>
        <v/>
      </c>
      <c r="K63" s="9">
        <f>SUMIFS(Actuals!$Y:$Y,Actuals!$A:$A,$A63)</f>
        <v/>
      </c>
      <c r="L63" s="9">
        <f>SUMIFS(Actuals!$Z:$Z,Actuals!$A:$A,$A63)</f>
        <v/>
      </c>
      <c r="M63" s="9">
        <f>SUMIFS(Actuals!$AA:$AA,Actuals!$A:$A,$A63)</f>
        <v/>
      </c>
      <c r="N63" s="10">
        <f>SUM(B63:M63)</f>
        <v/>
      </c>
    </row>
    <row r="64">
      <c r="A64" s="5" t="inlineStr">
        <is>
          <t>Direct Salaries - ONS</t>
        </is>
      </c>
      <c r="B64" s="9">
        <f>SUMIFS(Actuals!$P:$P,Actuals!$A:$A,$A64)</f>
        <v/>
      </c>
      <c r="C64" s="9">
        <f>SUMIFS(Actuals!$Q:$Q,Actuals!$A:$A,$A64)</f>
        <v/>
      </c>
      <c r="D64" s="9">
        <f>SUMIFS(Actuals!$R:$R,Actuals!$A:$A,$A64)</f>
        <v/>
      </c>
      <c r="E64" s="9">
        <f>SUMIFS(Actuals!$S:$S,Actuals!$A:$A,$A64)</f>
        <v/>
      </c>
      <c r="F64" s="9">
        <f>SUMIFS(Actuals!$T:$T,Actuals!$A:$A,$A64)</f>
        <v/>
      </c>
      <c r="G64" s="9">
        <f>SUMIFS(Actuals!$U:$U,Actuals!$A:$A,$A64)</f>
        <v/>
      </c>
      <c r="H64" s="9">
        <f>SUMIFS(Actuals!$V:$V,Actuals!$A:$A,$A64)</f>
        <v/>
      </c>
      <c r="I64" s="9">
        <f>SUMIFS(Actuals!$W:$W,Actuals!$A:$A,$A64)</f>
        <v/>
      </c>
      <c r="J64" s="9">
        <f>SUMIFS(Actuals!$X:$X,Actuals!$A:$A,$A64)</f>
        <v/>
      </c>
      <c r="K64" s="9">
        <f>SUMIFS(Actuals!$Y:$Y,Actuals!$A:$A,$A64)</f>
        <v/>
      </c>
      <c r="L64" s="9">
        <f>SUMIFS(Actuals!$Z:$Z,Actuals!$A:$A,$A64)</f>
        <v/>
      </c>
      <c r="M64" s="9">
        <f>SUMIFS(Actuals!$AA:$AA,Actuals!$A:$A,$A64)</f>
        <v/>
      </c>
      <c r="N64" s="10">
        <f>SUM(B64:M64)</f>
        <v/>
      </c>
    </row>
    <row r="65">
      <c r="A65" s="5" t="inlineStr">
        <is>
          <t>Direct Salaries - PRD</t>
        </is>
      </c>
      <c r="B65" s="9">
        <f>SUMIFS(Actuals!$P:$P,Actuals!$A:$A,$A65)</f>
        <v/>
      </c>
      <c r="C65" s="9">
        <f>SUMIFS(Actuals!$Q:$Q,Actuals!$A:$A,$A65)</f>
        <v/>
      </c>
      <c r="D65" s="9">
        <f>SUMIFS(Actuals!$R:$R,Actuals!$A:$A,$A65)</f>
        <v/>
      </c>
      <c r="E65" s="9">
        <f>SUMIFS(Actuals!$S:$S,Actuals!$A:$A,$A65)</f>
        <v/>
      </c>
      <c r="F65" s="9">
        <f>SUMIFS(Actuals!$T:$T,Actuals!$A:$A,$A65)</f>
        <v/>
      </c>
      <c r="G65" s="9">
        <f>SUMIFS(Actuals!$U:$U,Actuals!$A:$A,$A65)</f>
        <v/>
      </c>
      <c r="H65" s="9">
        <f>SUMIFS(Actuals!$V:$V,Actuals!$A:$A,$A65)</f>
        <v/>
      </c>
      <c r="I65" s="9">
        <f>SUMIFS(Actuals!$W:$W,Actuals!$A:$A,$A65)</f>
        <v/>
      </c>
      <c r="J65" s="9">
        <f>SUMIFS(Actuals!$X:$X,Actuals!$A:$A,$A65)</f>
        <v/>
      </c>
      <c r="K65" s="9">
        <f>SUMIFS(Actuals!$Y:$Y,Actuals!$A:$A,$A65)</f>
        <v/>
      </c>
      <c r="L65" s="9">
        <f>SUMIFS(Actuals!$Z:$Z,Actuals!$A:$A,$A65)</f>
        <v/>
      </c>
      <c r="M65" s="9">
        <f>SUMIFS(Actuals!$AA:$AA,Actuals!$A:$A,$A65)</f>
        <v/>
      </c>
      <c r="N65" s="10">
        <f>SUM(B65:M65)</f>
        <v/>
      </c>
    </row>
    <row r="66">
      <c r="A66" s="5" t="inlineStr">
        <is>
          <t>Direct Salaries - VID</t>
        </is>
      </c>
      <c r="B66" s="9">
        <f>SUMIFS(Actuals!$P:$P,Actuals!$A:$A,$A66)</f>
        <v/>
      </c>
      <c r="C66" s="9">
        <f>SUMIFS(Actuals!$Q:$Q,Actuals!$A:$A,$A66)</f>
        <v/>
      </c>
      <c r="D66" s="9">
        <f>SUMIFS(Actuals!$R:$R,Actuals!$A:$A,$A66)</f>
        <v/>
      </c>
      <c r="E66" s="9">
        <f>SUMIFS(Actuals!$S:$S,Actuals!$A:$A,$A66)</f>
        <v/>
      </c>
      <c r="F66" s="9">
        <f>SUMIFS(Actuals!$T:$T,Actuals!$A:$A,$A66)</f>
        <v/>
      </c>
      <c r="G66" s="9">
        <f>SUMIFS(Actuals!$U:$U,Actuals!$A:$A,$A66)</f>
        <v/>
      </c>
      <c r="H66" s="9">
        <f>SUMIFS(Actuals!$V:$V,Actuals!$A:$A,$A66)</f>
        <v/>
      </c>
      <c r="I66" s="9">
        <f>SUMIFS(Actuals!$W:$W,Actuals!$A:$A,$A66)</f>
        <v/>
      </c>
      <c r="J66" s="9">
        <f>SUMIFS(Actuals!$X:$X,Actuals!$A:$A,$A66)</f>
        <v/>
      </c>
      <c r="K66" s="9">
        <f>SUMIFS(Actuals!$Y:$Y,Actuals!$A:$A,$A66)</f>
        <v/>
      </c>
      <c r="L66" s="9">
        <f>SUMIFS(Actuals!$Z:$Z,Actuals!$A:$A,$A66)</f>
        <v/>
      </c>
      <c r="M66" s="9">
        <f>SUMIFS(Actuals!$AA:$AA,Actuals!$A:$A,$A66)</f>
        <v/>
      </c>
      <c r="N66" s="10">
        <f>SUM(B66:M66)</f>
        <v/>
      </c>
    </row>
    <row r="67">
      <c r="A67" s="5" t="inlineStr">
        <is>
          <t>Direct Superannuation - ADMIN</t>
        </is>
      </c>
      <c r="B67" s="9">
        <f>SUMIFS(Actuals!$P:$P,Actuals!$A:$A,$A67)</f>
        <v/>
      </c>
      <c r="C67" s="9">
        <f>SUMIFS(Actuals!$Q:$Q,Actuals!$A:$A,$A67)</f>
        <v/>
      </c>
      <c r="D67" s="9">
        <f>SUMIFS(Actuals!$R:$R,Actuals!$A:$A,$A67)</f>
        <v/>
      </c>
      <c r="E67" s="9">
        <f>SUMIFS(Actuals!$S:$S,Actuals!$A:$A,$A67)</f>
        <v/>
      </c>
      <c r="F67" s="9">
        <f>SUMIFS(Actuals!$T:$T,Actuals!$A:$A,$A67)</f>
        <v/>
      </c>
      <c r="G67" s="9">
        <f>SUMIFS(Actuals!$U:$U,Actuals!$A:$A,$A67)</f>
        <v/>
      </c>
      <c r="H67" s="9">
        <f>SUMIFS(Actuals!$V:$V,Actuals!$A:$A,$A67)</f>
        <v/>
      </c>
      <c r="I67" s="9">
        <f>SUMIFS(Actuals!$W:$W,Actuals!$A:$A,$A67)</f>
        <v/>
      </c>
      <c r="J67" s="9">
        <f>SUMIFS(Actuals!$X:$X,Actuals!$A:$A,$A67)</f>
        <v/>
      </c>
      <c r="K67" s="9">
        <f>SUMIFS(Actuals!$Y:$Y,Actuals!$A:$A,$A67)</f>
        <v/>
      </c>
      <c r="L67" s="9">
        <f>SUMIFS(Actuals!$Z:$Z,Actuals!$A:$A,$A67)</f>
        <v/>
      </c>
      <c r="M67" s="9">
        <f>SUMIFS(Actuals!$AA:$AA,Actuals!$A:$A,$A67)</f>
        <v/>
      </c>
      <c r="N67" s="10">
        <f>SUM(B67:M67)</f>
        <v/>
      </c>
    </row>
    <row r="68">
      <c r="A68" s="5" t="inlineStr">
        <is>
          <t>Direct Superannuation - CONS</t>
        </is>
      </c>
      <c r="B68" s="9">
        <f>SUMIFS(Actuals!$P:$P,Actuals!$A:$A,$A68)</f>
        <v/>
      </c>
      <c r="C68" s="9">
        <f>SUMIFS(Actuals!$Q:$Q,Actuals!$A:$A,$A68)</f>
        <v/>
      </c>
      <c r="D68" s="9">
        <f>SUMIFS(Actuals!$R:$R,Actuals!$A:$A,$A68)</f>
        <v/>
      </c>
      <c r="E68" s="9">
        <f>SUMIFS(Actuals!$S:$S,Actuals!$A:$A,$A68)</f>
        <v/>
      </c>
      <c r="F68" s="9">
        <f>SUMIFS(Actuals!$T:$T,Actuals!$A:$A,$A68)</f>
        <v/>
      </c>
      <c r="G68" s="9">
        <f>SUMIFS(Actuals!$U:$U,Actuals!$A:$A,$A68)</f>
        <v/>
      </c>
      <c r="H68" s="9">
        <f>SUMIFS(Actuals!$V:$V,Actuals!$A:$A,$A68)</f>
        <v/>
      </c>
      <c r="I68" s="9">
        <f>SUMIFS(Actuals!$W:$W,Actuals!$A:$A,$A68)</f>
        <v/>
      </c>
      <c r="J68" s="9">
        <f>SUMIFS(Actuals!$X:$X,Actuals!$A:$A,$A68)</f>
        <v/>
      </c>
      <c r="K68" s="9">
        <f>SUMIFS(Actuals!$Y:$Y,Actuals!$A:$A,$A68)</f>
        <v/>
      </c>
      <c r="L68" s="9">
        <f>SUMIFS(Actuals!$Z:$Z,Actuals!$A:$A,$A68)</f>
        <v/>
      </c>
      <c r="M68" s="9">
        <f>SUMIFS(Actuals!$AA:$AA,Actuals!$A:$A,$A68)</f>
        <v/>
      </c>
      <c r="N68" s="10">
        <f>SUM(B68:M68)</f>
        <v/>
      </c>
    </row>
    <row r="69">
      <c r="A69" s="5" t="inlineStr">
        <is>
          <t>Direct Superannuation - ONS</t>
        </is>
      </c>
      <c r="B69" s="9">
        <f>SUMIFS(Actuals!$P:$P,Actuals!$A:$A,$A69)</f>
        <v/>
      </c>
      <c r="C69" s="9">
        <f>SUMIFS(Actuals!$Q:$Q,Actuals!$A:$A,$A69)</f>
        <v/>
      </c>
      <c r="D69" s="9">
        <f>SUMIFS(Actuals!$R:$R,Actuals!$A:$A,$A69)</f>
        <v/>
      </c>
      <c r="E69" s="9">
        <f>SUMIFS(Actuals!$S:$S,Actuals!$A:$A,$A69)</f>
        <v/>
      </c>
      <c r="F69" s="9">
        <f>SUMIFS(Actuals!$T:$T,Actuals!$A:$A,$A69)</f>
        <v/>
      </c>
      <c r="G69" s="9">
        <f>SUMIFS(Actuals!$U:$U,Actuals!$A:$A,$A69)</f>
        <v/>
      </c>
      <c r="H69" s="9">
        <f>SUMIFS(Actuals!$V:$V,Actuals!$A:$A,$A69)</f>
        <v/>
      </c>
      <c r="I69" s="9">
        <f>SUMIFS(Actuals!$W:$W,Actuals!$A:$A,$A69)</f>
        <v/>
      </c>
      <c r="J69" s="9">
        <f>SUMIFS(Actuals!$X:$X,Actuals!$A:$A,$A69)</f>
        <v/>
      </c>
      <c r="K69" s="9">
        <f>SUMIFS(Actuals!$Y:$Y,Actuals!$A:$A,$A69)</f>
        <v/>
      </c>
      <c r="L69" s="9">
        <f>SUMIFS(Actuals!$Z:$Z,Actuals!$A:$A,$A69)</f>
        <v/>
      </c>
      <c r="M69" s="9">
        <f>SUMIFS(Actuals!$AA:$AA,Actuals!$A:$A,$A69)</f>
        <v/>
      </c>
      <c r="N69" s="10">
        <f>SUM(B69:M69)</f>
        <v/>
      </c>
    </row>
    <row r="70">
      <c r="A70" s="5" t="inlineStr">
        <is>
          <t>Direct Superannuation - PRD</t>
        </is>
      </c>
      <c r="B70" s="9">
        <f>SUMIFS(Actuals!$P:$P,Actuals!$A:$A,$A70)</f>
        <v/>
      </c>
      <c r="C70" s="9">
        <f>SUMIFS(Actuals!$Q:$Q,Actuals!$A:$A,$A70)</f>
        <v/>
      </c>
      <c r="D70" s="9">
        <f>SUMIFS(Actuals!$R:$R,Actuals!$A:$A,$A70)</f>
        <v/>
      </c>
      <c r="E70" s="9">
        <f>SUMIFS(Actuals!$S:$S,Actuals!$A:$A,$A70)</f>
        <v/>
      </c>
      <c r="F70" s="9">
        <f>SUMIFS(Actuals!$T:$T,Actuals!$A:$A,$A70)</f>
        <v/>
      </c>
      <c r="G70" s="9">
        <f>SUMIFS(Actuals!$U:$U,Actuals!$A:$A,$A70)</f>
        <v/>
      </c>
      <c r="H70" s="9">
        <f>SUMIFS(Actuals!$V:$V,Actuals!$A:$A,$A70)</f>
        <v/>
      </c>
      <c r="I70" s="9">
        <f>SUMIFS(Actuals!$W:$W,Actuals!$A:$A,$A70)</f>
        <v/>
      </c>
      <c r="J70" s="9">
        <f>SUMIFS(Actuals!$X:$X,Actuals!$A:$A,$A70)</f>
        <v/>
      </c>
      <c r="K70" s="9">
        <f>SUMIFS(Actuals!$Y:$Y,Actuals!$A:$A,$A70)</f>
        <v/>
      </c>
      <c r="L70" s="9">
        <f>SUMIFS(Actuals!$Z:$Z,Actuals!$A:$A,$A70)</f>
        <v/>
      </c>
      <c r="M70" s="9">
        <f>SUMIFS(Actuals!$AA:$AA,Actuals!$A:$A,$A70)</f>
        <v/>
      </c>
      <c r="N70" s="10">
        <f>SUM(B70:M70)</f>
        <v/>
      </c>
    </row>
    <row r="71">
      <c r="A71" s="5" t="inlineStr">
        <is>
          <t>Direct Superannuation - VID</t>
        </is>
      </c>
      <c r="B71" s="9">
        <f>SUMIFS(Actuals!$P:$P,Actuals!$A:$A,$A71)</f>
        <v/>
      </c>
      <c r="C71" s="9">
        <f>SUMIFS(Actuals!$Q:$Q,Actuals!$A:$A,$A71)</f>
        <v/>
      </c>
      <c r="D71" s="9">
        <f>SUMIFS(Actuals!$R:$R,Actuals!$A:$A,$A71)</f>
        <v/>
      </c>
      <c r="E71" s="9">
        <f>SUMIFS(Actuals!$S:$S,Actuals!$A:$A,$A71)</f>
        <v/>
      </c>
      <c r="F71" s="9">
        <f>SUMIFS(Actuals!$T:$T,Actuals!$A:$A,$A71)</f>
        <v/>
      </c>
      <c r="G71" s="9">
        <f>SUMIFS(Actuals!$U:$U,Actuals!$A:$A,$A71)</f>
        <v/>
      </c>
      <c r="H71" s="9">
        <f>SUMIFS(Actuals!$V:$V,Actuals!$A:$A,$A71)</f>
        <v/>
      </c>
      <c r="I71" s="9">
        <f>SUMIFS(Actuals!$W:$W,Actuals!$A:$A,$A71)</f>
        <v/>
      </c>
      <c r="J71" s="9">
        <f>SUMIFS(Actuals!$X:$X,Actuals!$A:$A,$A71)</f>
        <v/>
      </c>
      <c r="K71" s="9">
        <f>SUMIFS(Actuals!$Y:$Y,Actuals!$A:$A,$A71)</f>
        <v/>
      </c>
      <c r="L71" s="9">
        <f>SUMIFS(Actuals!$Z:$Z,Actuals!$A:$A,$A71)</f>
        <v/>
      </c>
      <c r="M71" s="9">
        <f>SUMIFS(Actuals!$AA:$AA,Actuals!$A:$A,$A71)</f>
        <v/>
      </c>
      <c r="N71" s="10">
        <f>SUM(B71:M71)</f>
        <v/>
      </c>
    </row>
    <row r="72">
      <c r="A72" s="5" t="inlineStr">
        <is>
          <t>Direct Superannuation-INTEGRATION</t>
        </is>
      </c>
      <c r="B72" s="9">
        <f>SUMIFS(Actuals!$P:$P,Actuals!$A:$A,$A72)</f>
        <v/>
      </c>
      <c r="C72" s="9">
        <f>SUMIFS(Actuals!$Q:$Q,Actuals!$A:$A,$A72)</f>
        <v/>
      </c>
      <c r="D72" s="9">
        <f>SUMIFS(Actuals!$R:$R,Actuals!$A:$A,$A72)</f>
        <v/>
      </c>
      <c r="E72" s="9">
        <f>SUMIFS(Actuals!$S:$S,Actuals!$A:$A,$A72)</f>
        <v/>
      </c>
      <c r="F72" s="9">
        <f>SUMIFS(Actuals!$T:$T,Actuals!$A:$A,$A72)</f>
        <v/>
      </c>
      <c r="G72" s="9">
        <f>SUMIFS(Actuals!$U:$U,Actuals!$A:$A,$A72)</f>
        <v/>
      </c>
      <c r="H72" s="9">
        <f>SUMIFS(Actuals!$V:$V,Actuals!$A:$A,$A72)</f>
        <v/>
      </c>
      <c r="I72" s="9">
        <f>SUMIFS(Actuals!$W:$W,Actuals!$A:$A,$A72)</f>
        <v/>
      </c>
      <c r="J72" s="9">
        <f>SUMIFS(Actuals!$X:$X,Actuals!$A:$A,$A72)</f>
        <v/>
      </c>
      <c r="K72" s="9">
        <f>SUMIFS(Actuals!$Y:$Y,Actuals!$A:$A,$A72)</f>
        <v/>
      </c>
      <c r="L72" s="9">
        <f>SUMIFS(Actuals!$Z:$Z,Actuals!$A:$A,$A72)</f>
        <v/>
      </c>
      <c r="M72" s="9">
        <f>SUMIFS(Actuals!$AA:$AA,Actuals!$A:$A,$A72)</f>
        <v/>
      </c>
      <c r="N72" s="10">
        <f>SUM(B72:M72)</f>
        <v/>
      </c>
    </row>
    <row r="73">
      <c r="A73" s="5" t="inlineStr">
        <is>
          <t>Direct Travel - ADMIN</t>
        </is>
      </c>
      <c r="B73" s="9">
        <f>SUMIFS(Actuals!$P:$P,Actuals!$A:$A,$A73)</f>
        <v/>
      </c>
      <c r="C73" s="9">
        <f>SUMIFS(Actuals!$Q:$Q,Actuals!$A:$A,$A73)</f>
        <v/>
      </c>
      <c r="D73" s="9">
        <f>SUMIFS(Actuals!$R:$R,Actuals!$A:$A,$A73)</f>
        <v/>
      </c>
      <c r="E73" s="9">
        <f>SUMIFS(Actuals!$S:$S,Actuals!$A:$A,$A73)</f>
        <v/>
      </c>
      <c r="F73" s="9">
        <f>SUMIFS(Actuals!$T:$T,Actuals!$A:$A,$A73)</f>
        <v/>
      </c>
      <c r="G73" s="9">
        <f>SUMIFS(Actuals!$U:$U,Actuals!$A:$A,$A73)</f>
        <v/>
      </c>
      <c r="H73" s="9">
        <f>SUMIFS(Actuals!$V:$V,Actuals!$A:$A,$A73)</f>
        <v/>
      </c>
      <c r="I73" s="9">
        <f>SUMIFS(Actuals!$W:$W,Actuals!$A:$A,$A73)</f>
        <v/>
      </c>
      <c r="J73" s="9">
        <f>SUMIFS(Actuals!$X:$X,Actuals!$A:$A,$A73)</f>
        <v/>
      </c>
      <c r="K73" s="9">
        <f>SUMIFS(Actuals!$Y:$Y,Actuals!$A:$A,$A73)</f>
        <v/>
      </c>
      <c r="L73" s="9">
        <f>SUMIFS(Actuals!$Z:$Z,Actuals!$A:$A,$A73)</f>
        <v/>
      </c>
      <c r="M73" s="9">
        <f>SUMIFS(Actuals!$AA:$AA,Actuals!$A:$A,$A73)</f>
        <v/>
      </c>
      <c r="N73" s="10">
        <f>SUM(B73:M73)</f>
        <v/>
      </c>
    </row>
    <row r="74">
      <c r="A74" s="5" t="inlineStr">
        <is>
          <t>Direct Travel - CONS</t>
        </is>
      </c>
      <c r="B74" s="9">
        <f>SUMIFS(Actuals!$P:$P,Actuals!$A:$A,$A74)</f>
        <v/>
      </c>
      <c r="C74" s="9">
        <f>SUMIFS(Actuals!$Q:$Q,Actuals!$A:$A,$A74)</f>
        <v/>
      </c>
      <c r="D74" s="9">
        <f>SUMIFS(Actuals!$R:$R,Actuals!$A:$A,$A74)</f>
        <v/>
      </c>
      <c r="E74" s="9">
        <f>SUMIFS(Actuals!$S:$S,Actuals!$A:$A,$A74)</f>
        <v/>
      </c>
      <c r="F74" s="9">
        <f>SUMIFS(Actuals!$T:$T,Actuals!$A:$A,$A74)</f>
        <v/>
      </c>
      <c r="G74" s="9">
        <f>SUMIFS(Actuals!$U:$U,Actuals!$A:$A,$A74)</f>
        <v/>
      </c>
      <c r="H74" s="9">
        <f>SUMIFS(Actuals!$V:$V,Actuals!$A:$A,$A74)</f>
        <v/>
      </c>
      <c r="I74" s="9">
        <f>SUMIFS(Actuals!$W:$W,Actuals!$A:$A,$A74)</f>
        <v/>
      </c>
      <c r="J74" s="9">
        <f>SUMIFS(Actuals!$X:$X,Actuals!$A:$A,$A74)</f>
        <v/>
      </c>
      <c r="K74" s="9">
        <f>SUMIFS(Actuals!$Y:$Y,Actuals!$A:$A,$A74)</f>
        <v/>
      </c>
      <c r="L74" s="9">
        <f>SUMIFS(Actuals!$Z:$Z,Actuals!$A:$A,$A74)</f>
        <v/>
      </c>
      <c r="M74" s="9">
        <f>SUMIFS(Actuals!$AA:$AA,Actuals!$A:$A,$A74)</f>
        <v/>
      </c>
      <c r="N74" s="10">
        <f>SUM(B74:M74)</f>
        <v/>
      </c>
    </row>
    <row r="75">
      <c r="A75" s="5" t="inlineStr">
        <is>
          <t>Direct Travel - INTEGRATION</t>
        </is>
      </c>
      <c r="B75" s="9">
        <f>SUMIFS(Actuals!$P:$P,Actuals!$A:$A,$A75)</f>
        <v/>
      </c>
      <c r="C75" s="9">
        <f>SUMIFS(Actuals!$Q:$Q,Actuals!$A:$A,$A75)</f>
        <v/>
      </c>
      <c r="D75" s="9">
        <f>SUMIFS(Actuals!$R:$R,Actuals!$A:$A,$A75)</f>
        <v/>
      </c>
      <c r="E75" s="9">
        <f>SUMIFS(Actuals!$S:$S,Actuals!$A:$A,$A75)</f>
        <v/>
      </c>
      <c r="F75" s="9">
        <f>SUMIFS(Actuals!$T:$T,Actuals!$A:$A,$A75)</f>
        <v/>
      </c>
      <c r="G75" s="9">
        <f>SUMIFS(Actuals!$U:$U,Actuals!$A:$A,$A75)</f>
        <v/>
      </c>
      <c r="H75" s="9">
        <f>SUMIFS(Actuals!$V:$V,Actuals!$A:$A,$A75)</f>
        <v/>
      </c>
      <c r="I75" s="9">
        <f>SUMIFS(Actuals!$W:$W,Actuals!$A:$A,$A75)</f>
        <v/>
      </c>
      <c r="J75" s="9">
        <f>SUMIFS(Actuals!$X:$X,Actuals!$A:$A,$A75)</f>
        <v/>
      </c>
      <c r="K75" s="9">
        <f>SUMIFS(Actuals!$Y:$Y,Actuals!$A:$A,$A75)</f>
        <v/>
      </c>
      <c r="L75" s="9">
        <f>SUMIFS(Actuals!$Z:$Z,Actuals!$A:$A,$A75)</f>
        <v/>
      </c>
      <c r="M75" s="9">
        <f>SUMIFS(Actuals!$AA:$AA,Actuals!$A:$A,$A75)</f>
        <v/>
      </c>
      <c r="N75" s="10">
        <f>SUM(B75:M75)</f>
        <v/>
      </c>
    </row>
    <row r="76">
      <c r="A76" s="5" t="inlineStr">
        <is>
          <t>Direct Travel - ONS</t>
        </is>
      </c>
      <c r="B76" s="9">
        <f>SUMIFS(Actuals!$P:$P,Actuals!$A:$A,$A76)</f>
        <v/>
      </c>
      <c r="C76" s="9">
        <f>SUMIFS(Actuals!$Q:$Q,Actuals!$A:$A,$A76)</f>
        <v/>
      </c>
      <c r="D76" s="9">
        <f>SUMIFS(Actuals!$R:$R,Actuals!$A:$A,$A76)</f>
        <v/>
      </c>
      <c r="E76" s="9">
        <f>SUMIFS(Actuals!$S:$S,Actuals!$A:$A,$A76)</f>
        <v/>
      </c>
      <c r="F76" s="9">
        <f>SUMIFS(Actuals!$T:$T,Actuals!$A:$A,$A76)</f>
        <v/>
      </c>
      <c r="G76" s="9">
        <f>SUMIFS(Actuals!$U:$U,Actuals!$A:$A,$A76)</f>
        <v/>
      </c>
      <c r="H76" s="9">
        <f>SUMIFS(Actuals!$V:$V,Actuals!$A:$A,$A76)</f>
        <v/>
      </c>
      <c r="I76" s="9">
        <f>SUMIFS(Actuals!$W:$W,Actuals!$A:$A,$A76)</f>
        <v/>
      </c>
      <c r="J76" s="9">
        <f>SUMIFS(Actuals!$X:$X,Actuals!$A:$A,$A76)</f>
        <v/>
      </c>
      <c r="K76" s="9">
        <f>SUMIFS(Actuals!$Y:$Y,Actuals!$A:$A,$A76)</f>
        <v/>
      </c>
      <c r="L76" s="9">
        <f>SUMIFS(Actuals!$Z:$Z,Actuals!$A:$A,$A76)</f>
        <v/>
      </c>
      <c r="M76" s="9">
        <f>SUMIFS(Actuals!$AA:$AA,Actuals!$A:$A,$A76)</f>
        <v/>
      </c>
      <c r="N76" s="10">
        <f>SUM(B76:M76)</f>
        <v/>
      </c>
    </row>
    <row r="77">
      <c r="A77" s="5" t="inlineStr">
        <is>
          <t>Direct Travel - PRD</t>
        </is>
      </c>
      <c r="B77" s="9">
        <f>SUMIFS(Actuals!$P:$P,Actuals!$A:$A,$A77)</f>
        <v/>
      </c>
      <c r="C77" s="9">
        <f>SUMIFS(Actuals!$Q:$Q,Actuals!$A:$A,$A77)</f>
        <v/>
      </c>
      <c r="D77" s="9">
        <f>SUMIFS(Actuals!$R:$R,Actuals!$A:$A,$A77)</f>
        <v/>
      </c>
      <c r="E77" s="9">
        <f>SUMIFS(Actuals!$S:$S,Actuals!$A:$A,$A77)</f>
        <v/>
      </c>
      <c r="F77" s="9">
        <f>SUMIFS(Actuals!$T:$T,Actuals!$A:$A,$A77)</f>
        <v/>
      </c>
      <c r="G77" s="9">
        <f>SUMIFS(Actuals!$U:$U,Actuals!$A:$A,$A77)</f>
        <v/>
      </c>
      <c r="H77" s="9">
        <f>SUMIFS(Actuals!$V:$V,Actuals!$A:$A,$A77)</f>
        <v/>
      </c>
      <c r="I77" s="9">
        <f>SUMIFS(Actuals!$W:$W,Actuals!$A:$A,$A77)</f>
        <v/>
      </c>
      <c r="J77" s="9">
        <f>SUMIFS(Actuals!$X:$X,Actuals!$A:$A,$A77)</f>
        <v/>
      </c>
      <c r="K77" s="9">
        <f>SUMIFS(Actuals!$Y:$Y,Actuals!$A:$A,$A77)</f>
        <v/>
      </c>
      <c r="L77" s="9">
        <f>SUMIFS(Actuals!$Z:$Z,Actuals!$A:$A,$A77)</f>
        <v/>
      </c>
      <c r="M77" s="9">
        <f>SUMIFS(Actuals!$AA:$AA,Actuals!$A:$A,$A77)</f>
        <v/>
      </c>
      <c r="N77" s="10">
        <f>SUM(B77:M77)</f>
        <v/>
      </c>
    </row>
    <row r="78">
      <c r="A78" s="5" t="inlineStr">
        <is>
          <t>Direct Travel - VID</t>
        </is>
      </c>
      <c r="B78" s="9">
        <f>SUMIFS(Actuals!$P:$P,Actuals!$A:$A,$A78)</f>
        <v/>
      </c>
      <c r="C78" s="9">
        <f>SUMIFS(Actuals!$Q:$Q,Actuals!$A:$A,$A78)</f>
        <v/>
      </c>
      <c r="D78" s="9">
        <f>SUMIFS(Actuals!$R:$R,Actuals!$A:$A,$A78)</f>
        <v/>
      </c>
      <c r="E78" s="9">
        <f>SUMIFS(Actuals!$S:$S,Actuals!$A:$A,$A78)</f>
        <v/>
      </c>
      <c r="F78" s="9">
        <f>SUMIFS(Actuals!$T:$T,Actuals!$A:$A,$A78)</f>
        <v/>
      </c>
      <c r="G78" s="9">
        <f>SUMIFS(Actuals!$U:$U,Actuals!$A:$A,$A78)</f>
        <v/>
      </c>
      <c r="H78" s="9">
        <f>SUMIFS(Actuals!$V:$V,Actuals!$A:$A,$A78)</f>
        <v/>
      </c>
      <c r="I78" s="9">
        <f>SUMIFS(Actuals!$W:$W,Actuals!$A:$A,$A78)</f>
        <v/>
      </c>
      <c r="J78" s="9">
        <f>SUMIFS(Actuals!$X:$X,Actuals!$A:$A,$A78)</f>
        <v/>
      </c>
      <c r="K78" s="9">
        <f>SUMIFS(Actuals!$Y:$Y,Actuals!$A:$A,$A78)</f>
        <v/>
      </c>
      <c r="L78" s="9">
        <f>SUMIFS(Actuals!$Z:$Z,Actuals!$A:$A,$A78)</f>
        <v/>
      </c>
      <c r="M78" s="9">
        <f>SUMIFS(Actuals!$AA:$AA,Actuals!$A:$A,$A78)</f>
        <v/>
      </c>
      <c r="N78" s="10">
        <f>SUM(B78:M78)</f>
        <v/>
      </c>
    </row>
    <row r="79">
      <c r="A79" s="5" t="inlineStr">
        <is>
          <t>Direct Wages - CONS</t>
        </is>
      </c>
      <c r="B79" s="9">
        <f>SUMIFS(Actuals!$P:$P,Actuals!$A:$A,$A79)</f>
        <v/>
      </c>
      <c r="C79" s="9">
        <f>SUMIFS(Actuals!$Q:$Q,Actuals!$A:$A,$A79)</f>
        <v/>
      </c>
      <c r="D79" s="9">
        <f>SUMIFS(Actuals!$R:$R,Actuals!$A:$A,$A79)</f>
        <v/>
      </c>
      <c r="E79" s="9">
        <f>SUMIFS(Actuals!$S:$S,Actuals!$A:$A,$A79)</f>
        <v/>
      </c>
      <c r="F79" s="9">
        <f>SUMIFS(Actuals!$T:$T,Actuals!$A:$A,$A79)</f>
        <v/>
      </c>
      <c r="G79" s="9">
        <f>SUMIFS(Actuals!$U:$U,Actuals!$A:$A,$A79)</f>
        <v/>
      </c>
      <c r="H79" s="9">
        <f>SUMIFS(Actuals!$V:$V,Actuals!$A:$A,$A79)</f>
        <v/>
      </c>
      <c r="I79" s="9">
        <f>SUMIFS(Actuals!$W:$W,Actuals!$A:$A,$A79)</f>
        <v/>
      </c>
      <c r="J79" s="9">
        <f>SUMIFS(Actuals!$X:$X,Actuals!$A:$A,$A79)</f>
        <v/>
      </c>
      <c r="K79" s="9">
        <f>SUMIFS(Actuals!$Y:$Y,Actuals!$A:$A,$A79)</f>
        <v/>
      </c>
      <c r="L79" s="9">
        <f>SUMIFS(Actuals!$Z:$Z,Actuals!$A:$A,$A79)</f>
        <v/>
      </c>
      <c r="M79" s="9">
        <f>SUMIFS(Actuals!$AA:$AA,Actuals!$A:$A,$A79)</f>
        <v/>
      </c>
      <c r="N79" s="10">
        <f>SUM(B79:M79)</f>
        <v/>
      </c>
    </row>
    <row r="80">
      <c r="A80" s="5" t="inlineStr">
        <is>
          <t>Direct Wages - INTEGRATION</t>
        </is>
      </c>
      <c r="B80" s="9">
        <f>SUMIFS(Actuals!$P:$P,Actuals!$A:$A,$A80)</f>
        <v/>
      </c>
      <c r="C80" s="9">
        <f>SUMIFS(Actuals!$Q:$Q,Actuals!$A:$A,$A80)</f>
        <v/>
      </c>
      <c r="D80" s="9">
        <f>SUMIFS(Actuals!$R:$R,Actuals!$A:$A,$A80)</f>
        <v/>
      </c>
      <c r="E80" s="9">
        <f>SUMIFS(Actuals!$S:$S,Actuals!$A:$A,$A80)</f>
        <v/>
      </c>
      <c r="F80" s="9">
        <f>SUMIFS(Actuals!$T:$T,Actuals!$A:$A,$A80)</f>
        <v/>
      </c>
      <c r="G80" s="9">
        <f>SUMIFS(Actuals!$U:$U,Actuals!$A:$A,$A80)</f>
        <v/>
      </c>
      <c r="H80" s="9">
        <f>SUMIFS(Actuals!$V:$V,Actuals!$A:$A,$A80)</f>
        <v/>
      </c>
      <c r="I80" s="9">
        <f>SUMIFS(Actuals!$W:$W,Actuals!$A:$A,$A80)</f>
        <v/>
      </c>
      <c r="J80" s="9">
        <f>SUMIFS(Actuals!$X:$X,Actuals!$A:$A,$A80)</f>
        <v/>
      </c>
      <c r="K80" s="9">
        <f>SUMIFS(Actuals!$Y:$Y,Actuals!$A:$A,$A80)</f>
        <v/>
      </c>
      <c r="L80" s="9">
        <f>SUMIFS(Actuals!$Z:$Z,Actuals!$A:$A,$A80)</f>
        <v/>
      </c>
      <c r="M80" s="9">
        <f>SUMIFS(Actuals!$AA:$AA,Actuals!$A:$A,$A80)</f>
        <v/>
      </c>
      <c r="N80" s="10">
        <f>SUM(B80:M80)</f>
        <v/>
      </c>
    </row>
    <row r="81">
      <c r="A81" s="5" t="inlineStr">
        <is>
          <t>Direct Wages - ONS</t>
        </is>
      </c>
      <c r="B81" s="9">
        <f>SUMIFS(Actuals!$P:$P,Actuals!$A:$A,$A81)</f>
        <v/>
      </c>
      <c r="C81" s="9">
        <f>SUMIFS(Actuals!$Q:$Q,Actuals!$A:$A,$A81)</f>
        <v/>
      </c>
      <c r="D81" s="9">
        <f>SUMIFS(Actuals!$R:$R,Actuals!$A:$A,$A81)</f>
        <v/>
      </c>
      <c r="E81" s="9">
        <f>SUMIFS(Actuals!$S:$S,Actuals!$A:$A,$A81)</f>
        <v/>
      </c>
      <c r="F81" s="9">
        <f>SUMIFS(Actuals!$T:$T,Actuals!$A:$A,$A81)</f>
        <v/>
      </c>
      <c r="G81" s="9">
        <f>SUMIFS(Actuals!$U:$U,Actuals!$A:$A,$A81)</f>
        <v/>
      </c>
      <c r="H81" s="9">
        <f>SUMIFS(Actuals!$V:$V,Actuals!$A:$A,$A81)</f>
        <v/>
      </c>
      <c r="I81" s="9">
        <f>SUMIFS(Actuals!$W:$W,Actuals!$A:$A,$A81)</f>
        <v/>
      </c>
      <c r="J81" s="9">
        <f>SUMIFS(Actuals!$X:$X,Actuals!$A:$A,$A81)</f>
        <v/>
      </c>
      <c r="K81" s="9">
        <f>SUMIFS(Actuals!$Y:$Y,Actuals!$A:$A,$A81)</f>
        <v/>
      </c>
      <c r="L81" s="9">
        <f>SUMIFS(Actuals!$Z:$Z,Actuals!$A:$A,$A81)</f>
        <v/>
      </c>
      <c r="M81" s="9">
        <f>SUMIFS(Actuals!$AA:$AA,Actuals!$A:$A,$A81)</f>
        <v/>
      </c>
      <c r="N81" s="10">
        <f>SUM(B81:M81)</f>
        <v/>
      </c>
    </row>
    <row r="82">
      <c r="A82" s="5" t="inlineStr">
        <is>
          <t>Direct Wages - PRD</t>
        </is>
      </c>
      <c r="B82" s="9">
        <f>SUMIFS(Actuals!$P:$P,Actuals!$A:$A,$A82)</f>
        <v/>
      </c>
      <c r="C82" s="9">
        <f>SUMIFS(Actuals!$Q:$Q,Actuals!$A:$A,$A82)</f>
        <v/>
      </c>
      <c r="D82" s="9">
        <f>SUMIFS(Actuals!$R:$R,Actuals!$A:$A,$A82)</f>
        <v/>
      </c>
      <c r="E82" s="9">
        <f>SUMIFS(Actuals!$S:$S,Actuals!$A:$A,$A82)</f>
        <v/>
      </c>
      <c r="F82" s="9">
        <f>SUMIFS(Actuals!$T:$T,Actuals!$A:$A,$A82)</f>
        <v/>
      </c>
      <c r="G82" s="9">
        <f>SUMIFS(Actuals!$U:$U,Actuals!$A:$A,$A82)</f>
        <v/>
      </c>
      <c r="H82" s="9">
        <f>SUMIFS(Actuals!$V:$V,Actuals!$A:$A,$A82)</f>
        <v/>
      </c>
      <c r="I82" s="9">
        <f>SUMIFS(Actuals!$W:$W,Actuals!$A:$A,$A82)</f>
        <v/>
      </c>
      <c r="J82" s="9">
        <f>SUMIFS(Actuals!$X:$X,Actuals!$A:$A,$A82)</f>
        <v/>
      </c>
      <c r="K82" s="9">
        <f>SUMIFS(Actuals!$Y:$Y,Actuals!$A:$A,$A82)</f>
        <v/>
      </c>
      <c r="L82" s="9">
        <f>SUMIFS(Actuals!$Z:$Z,Actuals!$A:$A,$A82)</f>
        <v/>
      </c>
      <c r="M82" s="9">
        <f>SUMIFS(Actuals!$AA:$AA,Actuals!$A:$A,$A82)</f>
        <v/>
      </c>
      <c r="N82" s="10">
        <f>SUM(B82:M82)</f>
        <v/>
      </c>
    </row>
    <row r="83">
      <c r="A83" s="5" t="inlineStr">
        <is>
          <t>Direct Wages - VID</t>
        </is>
      </c>
      <c r="B83" s="9">
        <f>SUMIFS(Actuals!$P:$P,Actuals!$A:$A,$A83)</f>
        <v/>
      </c>
      <c r="C83" s="9">
        <f>SUMIFS(Actuals!$Q:$Q,Actuals!$A:$A,$A83)</f>
        <v/>
      </c>
      <c r="D83" s="9">
        <f>SUMIFS(Actuals!$R:$R,Actuals!$A:$A,$A83)</f>
        <v/>
      </c>
      <c r="E83" s="9">
        <f>SUMIFS(Actuals!$S:$S,Actuals!$A:$A,$A83)</f>
        <v/>
      </c>
      <c r="F83" s="9">
        <f>SUMIFS(Actuals!$T:$T,Actuals!$A:$A,$A83)</f>
        <v/>
      </c>
      <c r="G83" s="9">
        <f>SUMIFS(Actuals!$U:$U,Actuals!$A:$A,$A83)</f>
        <v/>
      </c>
      <c r="H83" s="9">
        <f>SUMIFS(Actuals!$V:$V,Actuals!$A:$A,$A83)</f>
        <v/>
      </c>
      <c r="I83" s="9">
        <f>SUMIFS(Actuals!$W:$W,Actuals!$A:$A,$A83)</f>
        <v/>
      </c>
      <c r="J83" s="9">
        <f>SUMIFS(Actuals!$X:$X,Actuals!$A:$A,$A83)</f>
        <v/>
      </c>
      <c r="K83" s="9">
        <f>SUMIFS(Actuals!$Y:$Y,Actuals!$A:$A,$A83)</f>
        <v/>
      </c>
      <c r="L83" s="9">
        <f>SUMIFS(Actuals!$Z:$Z,Actuals!$A:$A,$A83)</f>
        <v/>
      </c>
      <c r="M83" s="9">
        <f>SUMIFS(Actuals!$AA:$AA,Actuals!$A:$A,$A83)</f>
        <v/>
      </c>
      <c r="N83" s="10">
        <f>SUM(B83:M83)</f>
        <v/>
      </c>
    </row>
    <row r="84">
      <c r="A84" s="5" t="inlineStr">
        <is>
          <t>Direct Workers Comp - ADMIN</t>
        </is>
      </c>
      <c r="B84" s="9">
        <f>SUMIFS(Actuals!$P:$P,Actuals!$A:$A,$A84)</f>
        <v/>
      </c>
      <c r="C84" s="9">
        <f>SUMIFS(Actuals!$Q:$Q,Actuals!$A:$A,$A84)</f>
        <v/>
      </c>
      <c r="D84" s="9">
        <f>SUMIFS(Actuals!$R:$R,Actuals!$A:$A,$A84)</f>
        <v/>
      </c>
      <c r="E84" s="9">
        <f>SUMIFS(Actuals!$S:$S,Actuals!$A:$A,$A84)</f>
        <v/>
      </c>
      <c r="F84" s="9">
        <f>SUMIFS(Actuals!$T:$T,Actuals!$A:$A,$A84)</f>
        <v/>
      </c>
      <c r="G84" s="9">
        <f>SUMIFS(Actuals!$U:$U,Actuals!$A:$A,$A84)</f>
        <v/>
      </c>
      <c r="H84" s="9">
        <f>SUMIFS(Actuals!$V:$V,Actuals!$A:$A,$A84)</f>
        <v/>
      </c>
      <c r="I84" s="9">
        <f>SUMIFS(Actuals!$W:$W,Actuals!$A:$A,$A84)</f>
        <v/>
      </c>
      <c r="J84" s="9">
        <f>SUMIFS(Actuals!$X:$X,Actuals!$A:$A,$A84)</f>
        <v/>
      </c>
      <c r="K84" s="9">
        <f>SUMIFS(Actuals!$Y:$Y,Actuals!$A:$A,$A84)</f>
        <v/>
      </c>
      <c r="L84" s="9">
        <f>SUMIFS(Actuals!$Z:$Z,Actuals!$A:$A,$A84)</f>
        <v/>
      </c>
      <c r="M84" s="9">
        <f>SUMIFS(Actuals!$AA:$AA,Actuals!$A:$A,$A84)</f>
        <v/>
      </c>
      <c r="N84" s="10">
        <f>SUM(B84:M84)</f>
        <v/>
      </c>
    </row>
    <row r="85">
      <c r="A85" s="5" t="inlineStr">
        <is>
          <t>Direct Workers Comp - CONS</t>
        </is>
      </c>
      <c r="B85" s="9">
        <f>SUMIFS(Actuals!$P:$P,Actuals!$A:$A,$A85)</f>
        <v/>
      </c>
      <c r="C85" s="9">
        <f>SUMIFS(Actuals!$Q:$Q,Actuals!$A:$A,$A85)</f>
        <v/>
      </c>
      <c r="D85" s="9">
        <f>SUMIFS(Actuals!$R:$R,Actuals!$A:$A,$A85)</f>
        <v/>
      </c>
      <c r="E85" s="9">
        <f>SUMIFS(Actuals!$S:$S,Actuals!$A:$A,$A85)</f>
        <v/>
      </c>
      <c r="F85" s="9">
        <f>SUMIFS(Actuals!$T:$T,Actuals!$A:$A,$A85)</f>
        <v/>
      </c>
      <c r="G85" s="9">
        <f>SUMIFS(Actuals!$U:$U,Actuals!$A:$A,$A85)</f>
        <v/>
      </c>
      <c r="H85" s="9">
        <f>SUMIFS(Actuals!$V:$V,Actuals!$A:$A,$A85)</f>
        <v/>
      </c>
      <c r="I85" s="9">
        <f>SUMIFS(Actuals!$W:$W,Actuals!$A:$A,$A85)</f>
        <v/>
      </c>
      <c r="J85" s="9">
        <f>SUMIFS(Actuals!$X:$X,Actuals!$A:$A,$A85)</f>
        <v/>
      </c>
      <c r="K85" s="9">
        <f>SUMIFS(Actuals!$Y:$Y,Actuals!$A:$A,$A85)</f>
        <v/>
      </c>
      <c r="L85" s="9">
        <f>SUMIFS(Actuals!$Z:$Z,Actuals!$A:$A,$A85)</f>
        <v/>
      </c>
      <c r="M85" s="9">
        <f>SUMIFS(Actuals!$AA:$AA,Actuals!$A:$A,$A85)</f>
        <v/>
      </c>
      <c r="N85" s="10">
        <f>SUM(B85:M85)</f>
        <v/>
      </c>
    </row>
    <row r="86">
      <c r="A86" s="5" t="inlineStr">
        <is>
          <t>Direct Workers Comp - INTEGRATION</t>
        </is>
      </c>
      <c r="B86" s="9">
        <f>SUMIFS(Actuals!$P:$P,Actuals!$A:$A,$A86)</f>
        <v/>
      </c>
      <c r="C86" s="9">
        <f>SUMIFS(Actuals!$Q:$Q,Actuals!$A:$A,$A86)</f>
        <v/>
      </c>
      <c r="D86" s="9">
        <f>SUMIFS(Actuals!$R:$R,Actuals!$A:$A,$A86)</f>
        <v/>
      </c>
      <c r="E86" s="9">
        <f>SUMIFS(Actuals!$S:$S,Actuals!$A:$A,$A86)</f>
        <v/>
      </c>
      <c r="F86" s="9">
        <f>SUMIFS(Actuals!$T:$T,Actuals!$A:$A,$A86)</f>
        <v/>
      </c>
      <c r="G86" s="9">
        <f>SUMIFS(Actuals!$U:$U,Actuals!$A:$A,$A86)</f>
        <v/>
      </c>
      <c r="H86" s="9">
        <f>SUMIFS(Actuals!$V:$V,Actuals!$A:$A,$A86)</f>
        <v/>
      </c>
      <c r="I86" s="9">
        <f>SUMIFS(Actuals!$W:$W,Actuals!$A:$A,$A86)</f>
        <v/>
      </c>
      <c r="J86" s="9">
        <f>SUMIFS(Actuals!$X:$X,Actuals!$A:$A,$A86)</f>
        <v/>
      </c>
      <c r="K86" s="9">
        <f>SUMIFS(Actuals!$Y:$Y,Actuals!$A:$A,$A86)</f>
        <v/>
      </c>
      <c r="L86" s="9">
        <f>SUMIFS(Actuals!$Z:$Z,Actuals!$A:$A,$A86)</f>
        <v/>
      </c>
      <c r="M86" s="9">
        <f>SUMIFS(Actuals!$AA:$AA,Actuals!$A:$A,$A86)</f>
        <v/>
      </c>
      <c r="N86" s="10">
        <f>SUM(B86:M86)</f>
        <v/>
      </c>
    </row>
    <row r="87">
      <c r="A87" s="5" t="inlineStr">
        <is>
          <t>Direct Workers Comp - ONS</t>
        </is>
      </c>
      <c r="B87" s="9">
        <f>SUMIFS(Actuals!$P:$P,Actuals!$A:$A,$A87)</f>
        <v/>
      </c>
      <c r="C87" s="9">
        <f>SUMIFS(Actuals!$Q:$Q,Actuals!$A:$A,$A87)</f>
        <v/>
      </c>
      <c r="D87" s="9">
        <f>SUMIFS(Actuals!$R:$R,Actuals!$A:$A,$A87)</f>
        <v/>
      </c>
      <c r="E87" s="9">
        <f>SUMIFS(Actuals!$S:$S,Actuals!$A:$A,$A87)</f>
        <v/>
      </c>
      <c r="F87" s="9">
        <f>SUMIFS(Actuals!$T:$T,Actuals!$A:$A,$A87)</f>
        <v/>
      </c>
      <c r="G87" s="9">
        <f>SUMIFS(Actuals!$U:$U,Actuals!$A:$A,$A87)</f>
        <v/>
      </c>
      <c r="H87" s="9">
        <f>SUMIFS(Actuals!$V:$V,Actuals!$A:$A,$A87)</f>
        <v/>
      </c>
      <c r="I87" s="9">
        <f>SUMIFS(Actuals!$W:$W,Actuals!$A:$A,$A87)</f>
        <v/>
      </c>
      <c r="J87" s="9">
        <f>SUMIFS(Actuals!$X:$X,Actuals!$A:$A,$A87)</f>
        <v/>
      </c>
      <c r="K87" s="9">
        <f>SUMIFS(Actuals!$Y:$Y,Actuals!$A:$A,$A87)</f>
        <v/>
      </c>
      <c r="L87" s="9">
        <f>SUMIFS(Actuals!$Z:$Z,Actuals!$A:$A,$A87)</f>
        <v/>
      </c>
      <c r="M87" s="9">
        <f>SUMIFS(Actuals!$AA:$AA,Actuals!$A:$A,$A87)</f>
        <v/>
      </c>
      <c r="N87" s="10">
        <f>SUM(B87:M87)</f>
        <v/>
      </c>
    </row>
    <row r="88">
      <c r="A88" s="5" t="inlineStr">
        <is>
          <t>Direct Workers Comp - PRD</t>
        </is>
      </c>
      <c r="B88" s="9">
        <f>SUMIFS(Actuals!$P:$P,Actuals!$A:$A,$A88)</f>
        <v/>
      </c>
      <c r="C88" s="9">
        <f>SUMIFS(Actuals!$Q:$Q,Actuals!$A:$A,$A88)</f>
        <v/>
      </c>
      <c r="D88" s="9">
        <f>SUMIFS(Actuals!$R:$R,Actuals!$A:$A,$A88)</f>
        <v/>
      </c>
      <c r="E88" s="9">
        <f>SUMIFS(Actuals!$S:$S,Actuals!$A:$A,$A88)</f>
        <v/>
      </c>
      <c r="F88" s="9">
        <f>SUMIFS(Actuals!$T:$T,Actuals!$A:$A,$A88)</f>
        <v/>
      </c>
      <c r="G88" s="9">
        <f>SUMIFS(Actuals!$U:$U,Actuals!$A:$A,$A88)</f>
        <v/>
      </c>
      <c r="H88" s="9">
        <f>SUMIFS(Actuals!$V:$V,Actuals!$A:$A,$A88)</f>
        <v/>
      </c>
      <c r="I88" s="9">
        <f>SUMIFS(Actuals!$W:$W,Actuals!$A:$A,$A88)</f>
        <v/>
      </c>
      <c r="J88" s="9">
        <f>SUMIFS(Actuals!$X:$X,Actuals!$A:$A,$A88)</f>
        <v/>
      </c>
      <c r="K88" s="9">
        <f>SUMIFS(Actuals!$Y:$Y,Actuals!$A:$A,$A88)</f>
        <v/>
      </c>
      <c r="L88" s="9">
        <f>SUMIFS(Actuals!$Z:$Z,Actuals!$A:$A,$A88)</f>
        <v/>
      </c>
      <c r="M88" s="9">
        <f>SUMIFS(Actuals!$AA:$AA,Actuals!$A:$A,$A88)</f>
        <v/>
      </c>
      <c r="N88" s="10">
        <f>SUM(B88:M88)</f>
        <v/>
      </c>
    </row>
    <row r="89">
      <c r="A89" s="5" t="inlineStr">
        <is>
          <t>Direct Workers Comp - VID</t>
        </is>
      </c>
      <c r="B89" s="9">
        <f>SUMIFS(Actuals!$P:$P,Actuals!$A:$A,$A89)</f>
        <v/>
      </c>
      <c r="C89" s="9">
        <f>SUMIFS(Actuals!$Q:$Q,Actuals!$A:$A,$A89)</f>
        <v/>
      </c>
      <c r="D89" s="9">
        <f>SUMIFS(Actuals!$R:$R,Actuals!$A:$A,$A89)</f>
        <v/>
      </c>
      <c r="E89" s="9">
        <f>SUMIFS(Actuals!$S:$S,Actuals!$A:$A,$A89)</f>
        <v/>
      </c>
      <c r="F89" s="9">
        <f>SUMIFS(Actuals!$T:$T,Actuals!$A:$A,$A89)</f>
        <v/>
      </c>
      <c r="G89" s="9">
        <f>SUMIFS(Actuals!$U:$U,Actuals!$A:$A,$A89)</f>
        <v/>
      </c>
      <c r="H89" s="9">
        <f>SUMIFS(Actuals!$V:$V,Actuals!$A:$A,$A89)</f>
        <v/>
      </c>
      <c r="I89" s="9">
        <f>SUMIFS(Actuals!$W:$W,Actuals!$A:$A,$A89)</f>
        <v/>
      </c>
      <c r="J89" s="9">
        <f>SUMIFS(Actuals!$X:$X,Actuals!$A:$A,$A89)</f>
        <v/>
      </c>
      <c r="K89" s="9">
        <f>SUMIFS(Actuals!$Y:$Y,Actuals!$A:$A,$A89)</f>
        <v/>
      </c>
      <c r="L89" s="9">
        <f>SUMIFS(Actuals!$Z:$Z,Actuals!$A:$A,$A89)</f>
        <v/>
      </c>
      <c r="M89" s="9">
        <f>SUMIFS(Actuals!$AA:$AA,Actuals!$A:$A,$A89)</f>
        <v/>
      </c>
      <c r="N89" s="10">
        <f>SUM(B89:M89)</f>
        <v/>
      </c>
    </row>
    <row r="90">
      <c r="A90" s="5" t="inlineStr">
        <is>
          <t>Discounts Given</t>
        </is>
      </c>
      <c r="B90" s="9">
        <f>SUMIFS(Actuals!$P:$P,Actuals!$A:$A,$A90)</f>
        <v/>
      </c>
      <c r="C90" s="9">
        <f>SUMIFS(Actuals!$Q:$Q,Actuals!$A:$A,$A90)</f>
        <v/>
      </c>
      <c r="D90" s="9">
        <f>SUMIFS(Actuals!$R:$R,Actuals!$A:$A,$A90)</f>
        <v/>
      </c>
      <c r="E90" s="9">
        <f>SUMIFS(Actuals!$S:$S,Actuals!$A:$A,$A90)</f>
        <v/>
      </c>
      <c r="F90" s="9">
        <f>SUMIFS(Actuals!$T:$T,Actuals!$A:$A,$A90)</f>
        <v/>
      </c>
      <c r="G90" s="9">
        <f>SUMIFS(Actuals!$U:$U,Actuals!$A:$A,$A90)</f>
        <v/>
      </c>
      <c r="H90" s="9">
        <f>SUMIFS(Actuals!$V:$V,Actuals!$A:$A,$A90)</f>
        <v/>
      </c>
      <c r="I90" s="9">
        <f>SUMIFS(Actuals!$W:$W,Actuals!$A:$A,$A90)</f>
        <v/>
      </c>
      <c r="J90" s="9">
        <f>SUMIFS(Actuals!$X:$X,Actuals!$A:$A,$A90)</f>
        <v/>
      </c>
      <c r="K90" s="9">
        <f>SUMIFS(Actuals!$Y:$Y,Actuals!$A:$A,$A90)</f>
        <v/>
      </c>
      <c r="L90" s="9">
        <f>SUMIFS(Actuals!$Z:$Z,Actuals!$A:$A,$A90)</f>
        <v/>
      </c>
      <c r="M90" s="9">
        <f>SUMIFS(Actuals!$AA:$AA,Actuals!$A:$A,$A90)</f>
        <v/>
      </c>
      <c r="N90" s="10">
        <f>SUM(B90:M90)</f>
        <v/>
      </c>
    </row>
    <row r="91">
      <c r="A91" s="5" t="inlineStr">
        <is>
          <t>Equipment - Hires</t>
        </is>
      </c>
      <c r="B91" s="9">
        <f>SUMIFS(Actuals!$P:$P,Actuals!$A:$A,$A91)</f>
        <v/>
      </c>
      <c r="C91" s="9">
        <f>SUMIFS(Actuals!$Q:$Q,Actuals!$A:$A,$A91)</f>
        <v/>
      </c>
      <c r="D91" s="9">
        <f>SUMIFS(Actuals!$R:$R,Actuals!$A:$A,$A91)</f>
        <v/>
      </c>
      <c r="E91" s="9">
        <f>SUMIFS(Actuals!$S:$S,Actuals!$A:$A,$A91)</f>
        <v/>
      </c>
      <c r="F91" s="9">
        <f>SUMIFS(Actuals!$T:$T,Actuals!$A:$A,$A91)</f>
        <v/>
      </c>
      <c r="G91" s="9">
        <f>SUMIFS(Actuals!$U:$U,Actuals!$A:$A,$A91)</f>
        <v/>
      </c>
      <c r="H91" s="9">
        <f>SUMIFS(Actuals!$V:$V,Actuals!$A:$A,$A91)</f>
        <v/>
      </c>
      <c r="I91" s="9">
        <f>SUMIFS(Actuals!$W:$W,Actuals!$A:$A,$A91)</f>
        <v/>
      </c>
      <c r="J91" s="9">
        <f>SUMIFS(Actuals!$X:$X,Actuals!$A:$A,$A91)</f>
        <v/>
      </c>
      <c r="K91" s="9">
        <f>SUMIFS(Actuals!$Y:$Y,Actuals!$A:$A,$A91)</f>
        <v/>
      </c>
      <c r="L91" s="9">
        <f>SUMIFS(Actuals!$Z:$Z,Actuals!$A:$A,$A91)</f>
        <v/>
      </c>
      <c r="M91" s="9">
        <f>SUMIFS(Actuals!$AA:$AA,Actuals!$A:$A,$A91)</f>
        <v/>
      </c>
      <c r="N91" s="10">
        <f>SUM(B91:M91)</f>
        <v/>
      </c>
    </row>
    <row r="92">
      <c r="A92" s="5" t="inlineStr">
        <is>
          <t>Equipment - Purchase</t>
        </is>
      </c>
      <c r="B92" s="9">
        <f>SUMIFS(Actuals!$P:$P,Actuals!$A:$A,$A92)</f>
        <v/>
      </c>
      <c r="C92" s="9">
        <f>SUMIFS(Actuals!$Q:$Q,Actuals!$A:$A,$A92)</f>
        <v/>
      </c>
      <c r="D92" s="9">
        <f>SUMIFS(Actuals!$R:$R,Actuals!$A:$A,$A92)</f>
        <v/>
      </c>
      <c r="E92" s="9">
        <f>SUMIFS(Actuals!$S:$S,Actuals!$A:$A,$A92)</f>
        <v/>
      </c>
      <c r="F92" s="9">
        <f>SUMIFS(Actuals!$T:$T,Actuals!$A:$A,$A92)</f>
        <v/>
      </c>
      <c r="G92" s="9">
        <f>SUMIFS(Actuals!$U:$U,Actuals!$A:$A,$A92)</f>
        <v/>
      </c>
      <c r="H92" s="9">
        <f>SUMIFS(Actuals!$V:$V,Actuals!$A:$A,$A92)</f>
        <v/>
      </c>
      <c r="I92" s="9">
        <f>SUMIFS(Actuals!$W:$W,Actuals!$A:$A,$A92)</f>
        <v/>
      </c>
      <c r="J92" s="9">
        <f>SUMIFS(Actuals!$X:$X,Actuals!$A:$A,$A92)</f>
        <v/>
      </c>
      <c r="K92" s="9">
        <f>SUMIFS(Actuals!$Y:$Y,Actuals!$A:$A,$A92)</f>
        <v/>
      </c>
      <c r="L92" s="9">
        <f>SUMIFS(Actuals!$Z:$Z,Actuals!$A:$A,$A92)</f>
        <v/>
      </c>
      <c r="M92" s="9">
        <f>SUMIFS(Actuals!$AA:$AA,Actuals!$A:$A,$A92)</f>
        <v/>
      </c>
      <c r="N92" s="10">
        <f>SUM(B92:M92)</f>
        <v/>
      </c>
    </row>
    <row r="93">
      <c r="A93" s="5" t="inlineStr">
        <is>
          <t>Equipment -Maintenance Support</t>
        </is>
      </c>
      <c r="B93" s="9">
        <f>SUMIFS(Actuals!$P:$P,Actuals!$A:$A,$A93)</f>
        <v/>
      </c>
      <c r="C93" s="9">
        <f>SUMIFS(Actuals!$Q:$Q,Actuals!$A:$A,$A93)</f>
        <v/>
      </c>
      <c r="D93" s="9">
        <f>SUMIFS(Actuals!$R:$R,Actuals!$A:$A,$A93)</f>
        <v/>
      </c>
      <c r="E93" s="9">
        <f>SUMIFS(Actuals!$S:$S,Actuals!$A:$A,$A93)</f>
        <v/>
      </c>
      <c r="F93" s="9">
        <f>SUMIFS(Actuals!$T:$T,Actuals!$A:$A,$A93)</f>
        <v/>
      </c>
      <c r="G93" s="9">
        <f>SUMIFS(Actuals!$U:$U,Actuals!$A:$A,$A93)</f>
        <v/>
      </c>
      <c r="H93" s="9">
        <f>SUMIFS(Actuals!$V:$V,Actuals!$A:$A,$A93)</f>
        <v/>
      </c>
      <c r="I93" s="9">
        <f>SUMIFS(Actuals!$W:$W,Actuals!$A:$A,$A93)</f>
        <v/>
      </c>
      <c r="J93" s="9">
        <f>SUMIFS(Actuals!$X:$X,Actuals!$A:$A,$A93)</f>
        <v/>
      </c>
      <c r="K93" s="9">
        <f>SUMIFS(Actuals!$Y:$Y,Actuals!$A:$A,$A93)</f>
        <v/>
      </c>
      <c r="L93" s="9">
        <f>SUMIFS(Actuals!$Z:$Z,Actuals!$A:$A,$A93)</f>
        <v/>
      </c>
      <c r="M93" s="9">
        <f>SUMIFS(Actuals!$AA:$AA,Actuals!$A:$A,$A93)</f>
        <v/>
      </c>
      <c r="N93" s="10">
        <f>SUM(B93:M93)</f>
        <v/>
      </c>
    </row>
    <row r="94">
      <c r="A94" s="5" t="inlineStr">
        <is>
          <t>Service - hires</t>
        </is>
      </c>
      <c r="B94" s="9">
        <f>SUMIFS(Actuals!$P:$P,Actuals!$A:$A,$A94)</f>
        <v/>
      </c>
      <c r="C94" s="9">
        <f>SUMIFS(Actuals!$Q:$Q,Actuals!$A:$A,$A94)</f>
        <v/>
      </c>
      <c r="D94" s="9">
        <f>SUMIFS(Actuals!$R:$R,Actuals!$A:$A,$A94)</f>
        <v/>
      </c>
      <c r="E94" s="9">
        <f>SUMIFS(Actuals!$S:$S,Actuals!$A:$A,$A94)</f>
        <v/>
      </c>
      <c r="F94" s="9">
        <f>SUMIFS(Actuals!$T:$T,Actuals!$A:$A,$A94)</f>
        <v/>
      </c>
      <c r="G94" s="9">
        <f>SUMIFS(Actuals!$U:$U,Actuals!$A:$A,$A94)</f>
        <v/>
      </c>
      <c r="H94" s="9">
        <f>SUMIFS(Actuals!$V:$V,Actuals!$A:$A,$A94)</f>
        <v/>
      </c>
      <c r="I94" s="9">
        <f>SUMIFS(Actuals!$W:$W,Actuals!$A:$A,$A94)</f>
        <v/>
      </c>
      <c r="J94" s="9">
        <f>SUMIFS(Actuals!$X:$X,Actuals!$A:$A,$A94)</f>
        <v/>
      </c>
      <c r="K94" s="9">
        <f>SUMIFS(Actuals!$Y:$Y,Actuals!$A:$A,$A94)</f>
        <v/>
      </c>
      <c r="L94" s="9">
        <f>SUMIFS(Actuals!$Z:$Z,Actuals!$A:$A,$A94)</f>
        <v/>
      </c>
      <c r="M94" s="9">
        <f>SUMIFS(Actuals!$AA:$AA,Actuals!$A:$A,$A94)</f>
        <v/>
      </c>
      <c r="N94" s="10">
        <f>SUM(B94:M94)</f>
        <v/>
      </c>
    </row>
    <row r="95">
      <c r="A95" s="5" t="inlineStr">
        <is>
          <t>Stamp Duty</t>
        </is>
      </c>
      <c r="B95" s="9">
        <f>SUMIFS(Actuals!$P:$P,Actuals!$A:$A,$A95)</f>
        <v/>
      </c>
      <c r="C95" s="9">
        <f>SUMIFS(Actuals!$Q:$Q,Actuals!$A:$A,$A95)</f>
        <v/>
      </c>
      <c r="D95" s="9">
        <f>SUMIFS(Actuals!$R:$R,Actuals!$A:$A,$A95)</f>
        <v/>
      </c>
      <c r="E95" s="9">
        <f>SUMIFS(Actuals!$S:$S,Actuals!$A:$A,$A95)</f>
        <v/>
      </c>
      <c r="F95" s="9">
        <f>SUMIFS(Actuals!$T:$T,Actuals!$A:$A,$A95)</f>
        <v/>
      </c>
      <c r="G95" s="9">
        <f>SUMIFS(Actuals!$U:$U,Actuals!$A:$A,$A95)</f>
        <v/>
      </c>
      <c r="H95" s="9">
        <f>SUMIFS(Actuals!$V:$V,Actuals!$A:$A,$A95)</f>
        <v/>
      </c>
      <c r="I95" s="9">
        <f>SUMIFS(Actuals!$W:$W,Actuals!$A:$A,$A95)</f>
        <v/>
      </c>
      <c r="J95" s="9">
        <f>SUMIFS(Actuals!$X:$X,Actuals!$A:$A,$A95)</f>
        <v/>
      </c>
      <c r="K95" s="9">
        <f>SUMIFS(Actuals!$Y:$Y,Actuals!$A:$A,$A95)</f>
        <v/>
      </c>
      <c r="L95" s="9">
        <f>SUMIFS(Actuals!$Z:$Z,Actuals!$A:$A,$A95)</f>
        <v/>
      </c>
      <c r="M95" s="9">
        <f>SUMIFS(Actuals!$AA:$AA,Actuals!$A:$A,$A95)</f>
        <v/>
      </c>
      <c r="N95" s="10">
        <f>SUM(B95:M95)</f>
        <v/>
      </c>
    </row>
    <row r="96">
      <c r="A96" s="5" t="inlineStr">
        <is>
          <t>Sub-Contract Labour - ADMIN</t>
        </is>
      </c>
      <c r="B96" s="9">
        <f>SUMIFS(Actuals!$P:$P,Actuals!$A:$A,$A96)</f>
        <v/>
      </c>
      <c r="C96" s="9">
        <f>SUMIFS(Actuals!$Q:$Q,Actuals!$A:$A,$A96)</f>
        <v/>
      </c>
      <c r="D96" s="9">
        <f>SUMIFS(Actuals!$R:$R,Actuals!$A:$A,$A96)</f>
        <v/>
      </c>
      <c r="E96" s="9">
        <f>SUMIFS(Actuals!$S:$S,Actuals!$A:$A,$A96)</f>
        <v/>
      </c>
      <c r="F96" s="9">
        <f>SUMIFS(Actuals!$T:$T,Actuals!$A:$A,$A96)</f>
        <v/>
      </c>
      <c r="G96" s="9">
        <f>SUMIFS(Actuals!$U:$U,Actuals!$A:$A,$A96)</f>
        <v/>
      </c>
      <c r="H96" s="9">
        <f>SUMIFS(Actuals!$V:$V,Actuals!$A:$A,$A96)</f>
        <v/>
      </c>
      <c r="I96" s="9">
        <f>SUMIFS(Actuals!$W:$W,Actuals!$A:$A,$A96)</f>
        <v/>
      </c>
      <c r="J96" s="9">
        <f>SUMIFS(Actuals!$X:$X,Actuals!$A:$A,$A96)</f>
        <v/>
      </c>
      <c r="K96" s="9">
        <f>SUMIFS(Actuals!$Y:$Y,Actuals!$A:$A,$A96)</f>
        <v/>
      </c>
      <c r="L96" s="9">
        <f>SUMIFS(Actuals!$Z:$Z,Actuals!$A:$A,$A96)</f>
        <v/>
      </c>
      <c r="M96" s="9">
        <f>SUMIFS(Actuals!$AA:$AA,Actuals!$A:$A,$A96)</f>
        <v/>
      </c>
      <c r="N96" s="10">
        <f>SUM(B96:M96)</f>
        <v/>
      </c>
    </row>
    <row r="97">
      <c r="A97" s="5" t="inlineStr">
        <is>
          <t>Sub-Contract Labour - CONS</t>
        </is>
      </c>
      <c r="B97" s="9">
        <f>SUMIFS(Actuals!$P:$P,Actuals!$A:$A,$A97)</f>
        <v/>
      </c>
      <c r="C97" s="9">
        <f>SUMIFS(Actuals!$Q:$Q,Actuals!$A:$A,$A97)</f>
        <v/>
      </c>
      <c r="D97" s="9">
        <f>SUMIFS(Actuals!$R:$R,Actuals!$A:$A,$A97)</f>
        <v/>
      </c>
      <c r="E97" s="9">
        <f>SUMIFS(Actuals!$S:$S,Actuals!$A:$A,$A97)</f>
        <v/>
      </c>
      <c r="F97" s="9">
        <f>SUMIFS(Actuals!$T:$T,Actuals!$A:$A,$A97)</f>
        <v/>
      </c>
      <c r="G97" s="9">
        <f>SUMIFS(Actuals!$U:$U,Actuals!$A:$A,$A97)</f>
        <v/>
      </c>
      <c r="H97" s="9">
        <f>SUMIFS(Actuals!$V:$V,Actuals!$A:$A,$A97)</f>
        <v/>
      </c>
      <c r="I97" s="9">
        <f>SUMIFS(Actuals!$W:$W,Actuals!$A:$A,$A97)</f>
        <v/>
      </c>
      <c r="J97" s="9">
        <f>SUMIFS(Actuals!$X:$X,Actuals!$A:$A,$A97)</f>
        <v/>
      </c>
      <c r="K97" s="9">
        <f>SUMIFS(Actuals!$Y:$Y,Actuals!$A:$A,$A97)</f>
        <v/>
      </c>
      <c r="L97" s="9">
        <f>SUMIFS(Actuals!$Z:$Z,Actuals!$A:$A,$A97)</f>
        <v/>
      </c>
      <c r="M97" s="9">
        <f>SUMIFS(Actuals!$AA:$AA,Actuals!$A:$A,$A97)</f>
        <v/>
      </c>
      <c r="N97" s="10">
        <f>SUM(B97:M97)</f>
        <v/>
      </c>
    </row>
    <row r="98">
      <c r="A98" s="5" t="inlineStr">
        <is>
          <t>Sub-Contract Labour - INTEGRATION</t>
        </is>
      </c>
      <c r="B98" s="9">
        <f>SUMIFS(Actuals!$P:$P,Actuals!$A:$A,$A98)</f>
        <v/>
      </c>
      <c r="C98" s="9">
        <f>SUMIFS(Actuals!$Q:$Q,Actuals!$A:$A,$A98)</f>
        <v/>
      </c>
      <c r="D98" s="9">
        <f>SUMIFS(Actuals!$R:$R,Actuals!$A:$A,$A98)</f>
        <v/>
      </c>
      <c r="E98" s="9">
        <f>SUMIFS(Actuals!$S:$S,Actuals!$A:$A,$A98)</f>
        <v/>
      </c>
      <c r="F98" s="9">
        <f>SUMIFS(Actuals!$T:$T,Actuals!$A:$A,$A98)</f>
        <v/>
      </c>
      <c r="G98" s="9">
        <f>SUMIFS(Actuals!$U:$U,Actuals!$A:$A,$A98)</f>
        <v/>
      </c>
      <c r="H98" s="9">
        <f>SUMIFS(Actuals!$V:$V,Actuals!$A:$A,$A98)</f>
        <v/>
      </c>
      <c r="I98" s="9">
        <f>SUMIFS(Actuals!$W:$W,Actuals!$A:$A,$A98)</f>
        <v/>
      </c>
      <c r="J98" s="9">
        <f>SUMIFS(Actuals!$X:$X,Actuals!$A:$A,$A98)</f>
        <v/>
      </c>
      <c r="K98" s="9">
        <f>SUMIFS(Actuals!$Y:$Y,Actuals!$A:$A,$A98)</f>
        <v/>
      </c>
      <c r="L98" s="9">
        <f>SUMIFS(Actuals!$Z:$Z,Actuals!$A:$A,$A98)</f>
        <v/>
      </c>
      <c r="M98" s="9">
        <f>SUMIFS(Actuals!$AA:$AA,Actuals!$A:$A,$A98)</f>
        <v/>
      </c>
      <c r="N98" s="10">
        <f>SUM(B98:M98)</f>
        <v/>
      </c>
    </row>
    <row r="99">
      <c r="A99" s="5" t="inlineStr">
        <is>
          <t>Sub-Contract Labour - ONS</t>
        </is>
      </c>
      <c r="B99" s="9">
        <f>SUMIFS(Actuals!$P:$P,Actuals!$A:$A,$A99)</f>
        <v/>
      </c>
      <c r="C99" s="9">
        <f>SUMIFS(Actuals!$Q:$Q,Actuals!$A:$A,$A99)</f>
        <v/>
      </c>
      <c r="D99" s="9">
        <f>SUMIFS(Actuals!$R:$R,Actuals!$A:$A,$A99)</f>
        <v/>
      </c>
      <c r="E99" s="9">
        <f>SUMIFS(Actuals!$S:$S,Actuals!$A:$A,$A99)</f>
        <v/>
      </c>
      <c r="F99" s="9">
        <f>SUMIFS(Actuals!$T:$T,Actuals!$A:$A,$A99)</f>
        <v/>
      </c>
      <c r="G99" s="9">
        <f>SUMIFS(Actuals!$U:$U,Actuals!$A:$A,$A99)</f>
        <v/>
      </c>
      <c r="H99" s="9">
        <f>SUMIFS(Actuals!$V:$V,Actuals!$A:$A,$A99)</f>
        <v/>
      </c>
      <c r="I99" s="9">
        <f>SUMIFS(Actuals!$W:$W,Actuals!$A:$A,$A99)</f>
        <v/>
      </c>
      <c r="J99" s="9">
        <f>SUMIFS(Actuals!$X:$X,Actuals!$A:$A,$A99)</f>
        <v/>
      </c>
      <c r="K99" s="9">
        <f>SUMIFS(Actuals!$Y:$Y,Actuals!$A:$A,$A99)</f>
        <v/>
      </c>
      <c r="L99" s="9">
        <f>SUMIFS(Actuals!$Z:$Z,Actuals!$A:$A,$A99)</f>
        <v/>
      </c>
      <c r="M99" s="9">
        <f>SUMIFS(Actuals!$AA:$AA,Actuals!$A:$A,$A99)</f>
        <v/>
      </c>
      <c r="N99" s="10">
        <f>SUM(B99:M99)</f>
        <v/>
      </c>
    </row>
    <row r="100">
      <c r="A100" s="5" t="inlineStr">
        <is>
          <t>Sub-Contract Labour - PRD</t>
        </is>
      </c>
      <c r="B100" s="9">
        <f>SUMIFS(Actuals!$P:$P,Actuals!$A:$A,$A100)</f>
        <v/>
      </c>
      <c r="C100" s="9">
        <f>SUMIFS(Actuals!$Q:$Q,Actuals!$A:$A,$A100)</f>
        <v/>
      </c>
      <c r="D100" s="9">
        <f>SUMIFS(Actuals!$R:$R,Actuals!$A:$A,$A100)</f>
        <v/>
      </c>
      <c r="E100" s="9">
        <f>SUMIFS(Actuals!$S:$S,Actuals!$A:$A,$A100)</f>
        <v/>
      </c>
      <c r="F100" s="9">
        <f>SUMIFS(Actuals!$T:$T,Actuals!$A:$A,$A100)</f>
        <v/>
      </c>
      <c r="G100" s="9">
        <f>SUMIFS(Actuals!$U:$U,Actuals!$A:$A,$A100)</f>
        <v/>
      </c>
      <c r="H100" s="9">
        <f>SUMIFS(Actuals!$V:$V,Actuals!$A:$A,$A100)</f>
        <v/>
      </c>
      <c r="I100" s="9">
        <f>SUMIFS(Actuals!$W:$W,Actuals!$A:$A,$A100)</f>
        <v/>
      </c>
      <c r="J100" s="9">
        <f>SUMIFS(Actuals!$X:$X,Actuals!$A:$A,$A100)</f>
        <v/>
      </c>
      <c r="K100" s="9">
        <f>SUMIFS(Actuals!$Y:$Y,Actuals!$A:$A,$A100)</f>
        <v/>
      </c>
      <c r="L100" s="9">
        <f>SUMIFS(Actuals!$Z:$Z,Actuals!$A:$A,$A100)</f>
        <v/>
      </c>
      <c r="M100" s="9">
        <f>SUMIFS(Actuals!$AA:$AA,Actuals!$A:$A,$A100)</f>
        <v/>
      </c>
      <c r="N100" s="10">
        <f>SUM(B100:M100)</f>
        <v/>
      </c>
    </row>
    <row r="101">
      <c r="A101" s="5" t="inlineStr">
        <is>
          <t>Sub-Contract Labour - VID</t>
        </is>
      </c>
      <c r="B101" s="9">
        <f>SUMIFS(Actuals!$P:$P,Actuals!$A:$A,$A101)</f>
        <v/>
      </c>
      <c r="C101" s="9">
        <f>SUMIFS(Actuals!$Q:$Q,Actuals!$A:$A,$A101)</f>
        <v/>
      </c>
      <c r="D101" s="9">
        <f>SUMIFS(Actuals!$R:$R,Actuals!$A:$A,$A101)</f>
        <v/>
      </c>
      <c r="E101" s="9">
        <f>SUMIFS(Actuals!$S:$S,Actuals!$A:$A,$A101)</f>
        <v/>
      </c>
      <c r="F101" s="9">
        <f>SUMIFS(Actuals!$T:$T,Actuals!$A:$A,$A101)</f>
        <v/>
      </c>
      <c r="G101" s="9">
        <f>SUMIFS(Actuals!$U:$U,Actuals!$A:$A,$A101)</f>
        <v/>
      </c>
      <c r="H101" s="9">
        <f>SUMIFS(Actuals!$V:$V,Actuals!$A:$A,$A101)</f>
        <v/>
      </c>
      <c r="I101" s="9">
        <f>SUMIFS(Actuals!$W:$W,Actuals!$A:$A,$A101)</f>
        <v/>
      </c>
      <c r="J101" s="9">
        <f>SUMIFS(Actuals!$X:$X,Actuals!$A:$A,$A101)</f>
        <v/>
      </c>
      <c r="K101" s="9">
        <f>SUMIFS(Actuals!$Y:$Y,Actuals!$A:$A,$A101)</f>
        <v/>
      </c>
      <c r="L101" s="9">
        <f>SUMIFS(Actuals!$Z:$Z,Actuals!$A:$A,$A101)</f>
        <v/>
      </c>
      <c r="M101" s="9">
        <f>SUMIFS(Actuals!$AA:$AA,Actuals!$A:$A,$A101)</f>
        <v/>
      </c>
      <c r="N101" s="10">
        <f>SUM(B101:M101)</f>
        <v/>
      </c>
    </row>
    <row r="102">
      <c r="A102" s="5" t="inlineStr">
        <is>
          <t>Subscriptions &amp; Licences - Expense</t>
        </is>
      </c>
      <c r="B102" s="9">
        <f>SUMIFS(Actuals!$P:$P,Actuals!$A:$A,$A102)</f>
        <v/>
      </c>
      <c r="C102" s="9">
        <f>SUMIFS(Actuals!$Q:$Q,Actuals!$A:$A,$A102)</f>
        <v/>
      </c>
      <c r="D102" s="9">
        <f>SUMIFS(Actuals!$R:$R,Actuals!$A:$A,$A102)</f>
        <v/>
      </c>
      <c r="E102" s="9">
        <f>SUMIFS(Actuals!$S:$S,Actuals!$A:$A,$A102)</f>
        <v/>
      </c>
      <c r="F102" s="9">
        <f>SUMIFS(Actuals!$T:$T,Actuals!$A:$A,$A102)</f>
        <v/>
      </c>
      <c r="G102" s="9">
        <f>SUMIFS(Actuals!$U:$U,Actuals!$A:$A,$A102)</f>
        <v/>
      </c>
      <c r="H102" s="9">
        <f>SUMIFS(Actuals!$V:$V,Actuals!$A:$A,$A102)</f>
        <v/>
      </c>
      <c r="I102" s="9">
        <f>SUMIFS(Actuals!$W:$W,Actuals!$A:$A,$A102)</f>
        <v/>
      </c>
      <c r="J102" s="9">
        <f>SUMIFS(Actuals!$X:$X,Actuals!$A:$A,$A102)</f>
        <v/>
      </c>
      <c r="K102" s="9">
        <f>SUMIFS(Actuals!$Y:$Y,Actuals!$A:$A,$A102)</f>
        <v/>
      </c>
      <c r="L102" s="9">
        <f>SUMIFS(Actuals!$Z:$Z,Actuals!$A:$A,$A102)</f>
        <v/>
      </c>
      <c r="M102" s="9">
        <f>SUMIFS(Actuals!$AA:$AA,Actuals!$A:$A,$A102)</f>
        <v/>
      </c>
      <c r="N102" s="10">
        <f>SUM(B102:M102)</f>
        <v/>
      </c>
    </row>
    <row r="103">
      <c r="A103" s="5" t="inlineStr">
        <is>
          <t>Supplier Per Diems - ADMIN</t>
        </is>
      </c>
      <c r="B103" s="9">
        <f>SUMIFS(Actuals!$P:$P,Actuals!$A:$A,$A103)</f>
        <v/>
      </c>
      <c r="C103" s="9">
        <f>SUMIFS(Actuals!$Q:$Q,Actuals!$A:$A,$A103)</f>
        <v/>
      </c>
      <c r="D103" s="9">
        <f>SUMIFS(Actuals!$R:$R,Actuals!$A:$A,$A103)</f>
        <v/>
      </c>
      <c r="E103" s="9">
        <f>SUMIFS(Actuals!$S:$S,Actuals!$A:$A,$A103)</f>
        <v/>
      </c>
      <c r="F103" s="9">
        <f>SUMIFS(Actuals!$T:$T,Actuals!$A:$A,$A103)</f>
        <v/>
      </c>
      <c r="G103" s="9">
        <f>SUMIFS(Actuals!$U:$U,Actuals!$A:$A,$A103)</f>
        <v/>
      </c>
      <c r="H103" s="9">
        <f>SUMIFS(Actuals!$V:$V,Actuals!$A:$A,$A103)</f>
        <v/>
      </c>
      <c r="I103" s="9">
        <f>SUMIFS(Actuals!$W:$W,Actuals!$A:$A,$A103)</f>
        <v/>
      </c>
      <c r="J103" s="9">
        <f>SUMIFS(Actuals!$X:$X,Actuals!$A:$A,$A103)</f>
        <v/>
      </c>
      <c r="K103" s="9">
        <f>SUMIFS(Actuals!$Y:$Y,Actuals!$A:$A,$A103)</f>
        <v/>
      </c>
      <c r="L103" s="9">
        <f>SUMIFS(Actuals!$Z:$Z,Actuals!$A:$A,$A103)</f>
        <v/>
      </c>
      <c r="M103" s="9">
        <f>SUMIFS(Actuals!$AA:$AA,Actuals!$A:$A,$A103)</f>
        <v/>
      </c>
      <c r="N103" s="10">
        <f>SUM(B103:M103)</f>
        <v/>
      </c>
    </row>
    <row r="104">
      <c r="A104" s="5" t="inlineStr">
        <is>
          <t>Supplier Per Diems - CONS</t>
        </is>
      </c>
      <c r="B104" s="9">
        <f>SUMIFS(Actuals!$P:$P,Actuals!$A:$A,$A104)</f>
        <v/>
      </c>
      <c r="C104" s="9">
        <f>SUMIFS(Actuals!$Q:$Q,Actuals!$A:$A,$A104)</f>
        <v/>
      </c>
      <c r="D104" s="9">
        <f>SUMIFS(Actuals!$R:$R,Actuals!$A:$A,$A104)</f>
        <v/>
      </c>
      <c r="E104" s="9">
        <f>SUMIFS(Actuals!$S:$S,Actuals!$A:$A,$A104)</f>
        <v/>
      </c>
      <c r="F104" s="9">
        <f>SUMIFS(Actuals!$T:$T,Actuals!$A:$A,$A104)</f>
        <v/>
      </c>
      <c r="G104" s="9">
        <f>SUMIFS(Actuals!$U:$U,Actuals!$A:$A,$A104)</f>
        <v/>
      </c>
      <c r="H104" s="9">
        <f>SUMIFS(Actuals!$V:$V,Actuals!$A:$A,$A104)</f>
        <v/>
      </c>
      <c r="I104" s="9">
        <f>SUMIFS(Actuals!$W:$W,Actuals!$A:$A,$A104)</f>
        <v/>
      </c>
      <c r="J104" s="9">
        <f>SUMIFS(Actuals!$X:$X,Actuals!$A:$A,$A104)</f>
        <v/>
      </c>
      <c r="K104" s="9">
        <f>SUMIFS(Actuals!$Y:$Y,Actuals!$A:$A,$A104)</f>
        <v/>
      </c>
      <c r="L104" s="9">
        <f>SUMIFS(Actuals!$Z:$Z,Actuals!$A:$A,$A104)</f>
        <v/>
      </c>
      <c r="M104" s="9">
        <f>SUMIFS(Actuals!$AA:$AA,Actuals!$A:$A,$A104)</f>
        <v/>
      </c>
      <c r="N104" s="10">
        <f>SUM(B104:M104)</f>
        <v/>
      </c>
    </row>
    <row r="105">
      <c r="A105" s="5" t="inlineStr">
        <is>
          <t>Supplier Per Diems - INTEGRATION</t>
        </is>
      </c>
      <c r="B105" s="9">
        <f>SUMIFS(Actuals!$P:$P,Actuals!$A:$A,$A105)</f>
        <v/>
      </c>
      <c r="C105" s="9">
        <f>SUMIFS(Actuals!$Q:$Q,Actuals!$A:$A,$A105)</f>
        <v/>
      </c>
      <c r="D105" s="9">
        <f>SUMIFS(Actuals!$R:$R,Actuals!$A:$A,$A105)</f>
        <v/>
      </c>
      <c r="E105" s="9">
        <f>SUMIFS(Actuals!$S:$S,Actuals!$A:$A,$A105)</f>
        <v/>
      </c>
      <c r="F105" s="9">
        <f>SUMIFS(Actuals!$T:$T,Actuals!$A:$A,$A105)</f>
        <v/>
      </c>
      <c r="G105" s="9">
        <f>SUMIFS(Actuals!$U:$U,Actuals!$A:$A,$A105)</f>
        <v/>
      </c>
      <c r="H105" s="9">
        <f>SUMIFS(Actuals!$V:$V,Actuals!$A:$A,$A105)</f>
        <v/>
      </c>
      <c r="I105" s="9">
        <f>SUMIFS(Actuals!$W:$W,Actuals!$A:$A,$A105)</f>
        <v/>
      </c>
      <c r="J105" s="9">
        <f>SUMIFS(Actuals!$X:$X,Actuals!$A:$A,$A105)</f>
        <v/>
      </c>
      <c r="K105" s="9">
        <f>SUMIFS(Actuals!$Y:$Y,Actuals!$A:$A,$A105)</f>
        <v/>
      </c>
      <c r="L105" s="9">
        <f>SUMIFS(Actuals!$Z:$Z,Actuals!$A:$A,$A105)</f>
        <v/>
      </c>
      <c r="M105" s="9">
        <f>SUMIFS(Actuals!$AA:$AA,Actuals!$A:$A,$A105)</f>
        <v/>
      </c>
      <c r="N105" s="10">
        <f>SUM(B105:M105)</f>
        <v/>
      </c>
    </row>
    <row r="106">
      <c r="A106" s="5" t="inlineStr">
        <is>
          <t>Supplier Per Diems - ONS</t>
        </is>
      </c>
      <c r="B106" s="9">
        <f>SUMIFS(Actuals!$P:$P,Actuals!$A:$A,$A106)</f>
        <v/>
      </c>
      <c r="C106" s="9">
        <f>SUMIFS(Actuals!$Q:$Q,Actuals!$A:$A,$A106)</f>
        <v/>
      </c>
      <c r="D106" s="9">
        <f>SUMIFS(Actuals!$R:$R,Actuals!$A:$A,$A106)</f>
        <v/>
      </c>
      <c r="E106" s="9">
        <f>SUMIFS(Actuals!$S:$S,Actuals!$A:$A,$A106)</f>
        <v/>
      </c>
      <c r="F106" s="9">
        <f>SUMIFS(Actuals!$T:$T,Actuals!$A:$A,$A106)</f>
        <v/>
      </c>
      <c r="G106" s="9">
        <f>SUMIFS(Actuals!$U:$U,Actuals!$A:$A,$A106)</f>
        <v/>
      </c>
      <c r="H106" s="9">
        <f>SUMIFS(Actuals!$V:$V,Actuals!$A:$A,$A106)</f>
        <v/>
      </c>
      <c r="I106" s="9">
        <f>SUMIFS(Actuals!$W:$W,Actuals!$A:$A,$A106)</f>
        <v/>
      </c>
      <c r="J106" s="9">
        <f>SUMIFS(Actuals!$X:$X,Actuals!$A:$A,$A106)</f>
        <v/>
      </c>
      <c r="K106" s="9">
        <f>SUMIFS(Actuals!$Y:$Y,Actuals!$A:$A,$A106)</f>
        <v/>
      </c>
      <c r="L106" s="9">
        <f>SUMIFS(Actuals!$Z:$Z,Actuals!$A:$A,$A106)</f>
        <v/>
      </c>
      <c r="M106" s="9">
        <f>SUMIFS(Actuals!$AA:$AA,Actuals!$A:$A,$A106)</f>
        <v/>
      </c>
      <c r="N106" s="10">
        <f>SUM(B106:M106)</f>
        <v/>
      </c>
    </row>
    <row r="107">
      <c r="A107" s="5" t="inlineStr">
        <is>
          <t>Supplier Per Diems - PRD</t>
        </is>
      </c>
      <c r="B107" s="9">
        <f>SUMIFS(Actuals!$P:$P,Actuals!$A:$A,$A107)</f>
        <v/>
      </c>
      <c r="C107" s="9">
        <f>SUMIFS(Actuals!$Q:$Q,Actuals!$A:$A,$A107)</f>
        <v/>
      </c>
      <c r="D107" s="9">
        <f>SUMIFS(Actuals!$R:$R,Actuals!$A:$A,$A107)</f>
        <v/>
      </c>
      <c r="E107" s="9">
        <f>SUMIFS(Actuals!$S:$S,Actuals!$A:$A,$A107)</f>
        <v/>
      </c>
      <c r="F107" s="9">
        <f>SUMIFS(Actuals!$T:$T,Actuals!$A:$A,$A107)</f>
        <v/>
      </c>
      <c r="G107" s="9">
        <f>SUMIFS(Actuals!$U:$U,Actuals!$A:$A,$A107)</f>
        <v/>
      </c>
      <c r="H107" s="9">
        <f>SUMIFS(Actuals!$V:$V,Actuals!$A:$A,$A107)</f>
        <v/>
      </c>
      <c r="I107" s="9">
        <f>SUMIFS(Actuals!$W:$W,Actuals!$A:$A,$A107)</f>
        <v/>
      </c>
      <c r="J107" s="9">
        <f>SUMIFS(Actuals!$X:$X,Actuals!$A:$A,$A107)</f>
        <v/>
      </c>
      <c r="K107" s="9">
        <f>SUMIFS(Actuals!$Y:$Y,Actuals!$A:$A,$A107)</f>
        <v/>
      </c>
      <c r="L107" s="9">
        <f>SUMIFS(Actuals!$Z:$Z,Actuals!$A:$A,$A107)</f>
        <v/>
      </c>
      <c r="M107" s="9">
        <f>SUMIFS(Actuals!$AA:$AA,Actuals!$A:$A,$A107)</f>
        <v/>
      </c>
      <c r="N107" s="10">
        <f>SUM(B107:M107)</f>
        <v/>
      </c>
    </row>
    <row r="108">
      <c r="A108" s="5" t="inlineStr">
        <is>
          <t>Supplier Per Diems - VID</t>
        </is>
      </c>
      <c r="B108" s="9">
        <f>SUMIFS(Actuals!$P:$P,Actuals!$A:$A,$A108)</f>
        <v/>
      </c>
      <c r="C108" s="9">
        <f>SUMIFS(Actuals!$Q:$Q,Actuals!$A:$A,$A108)</f>
        <v/>
      </c>
      <c r="D108" s="9">
        <f>SUMIFS(Actuals!$R:$R,Actuals!$A:$A,$A108)</f>
        <v/>
      </c>
      <c r="E108" s="9">
        <f>SUMIFS(Actuals!$S:$S,Actuals!$A:$A,$A108)</f>
        <v/>
      </c>
      <c r="F108" s="9">
        <f>SUMIFS(Actuals!$T:$T,Actuals!$A:$A,$A108)</f>
        <v/>
      </c>
      <c r="G108" s="9">
        <f>SUMIFS(Actuals!$U:$U,Actuals!$A:$A,$A108)</f>
        <v/>
      </c>
      <c r="H108" s="9">
        <f>SUMIFS(Actuals!$V:$V,Actuals!$A:$A,$A108)</f>
        <v/>
      </c>
      <c r="I108" s="9">
        <f>SUMIFS(Actuals!$W:$W,Actuals!$A:$A,$A108)</f>
        <v/>
      </c>
      <c r="J108" s="9">
        <f>SUMIFS(Actuals!$X:$X,Actuals!$A:$A,$A108)</f>
        <v/>
      </c>
      <c r="K108" s="9">
        <f>SUMIFS(Actuals!$Y:$Y,Actuals!$A:$A,$A108)</f>
        <v/>
      </c>
      <c r="L108" s="9">
        <f>SUMIFS(Actuals!$Z:$Z,Actuals!$A:$A,$A108)</f>
        <v/>
      </c>
      <c r="M108" s="9">
        <f>SUMIFS(Actuals!$AA:$AA,Actuals!$A:$A,$A108)</f>
        <v/>
      </c>
      <c r="N108" s="10">
        <f>SUM(B108:M108)</f>
        <v/>
      </c>
    </row>
    <row r="109">
      <c r="A109" s="11" t="inlineStr">
        <is>
          <t>Total Cost of Sales</t>
        </is>
      </c>
      <c r="B109" s="12">
        <f>SUM(B43:B108)</f>
        <v/>
      </c>
      <c r="C109" s="12">
        <f>SUM(C43:C108)</f>
        <v/>
      </c>
      <c r="D109" s="12">
        <f>SUM(D43:D108)</f>
        <v/>
      </c>
      <c r="E109" s="12">
        <f>SUM(E43:E108)</f>
        <v/>
      </c>
      <c r="F109" s="12">
        <f>SUM(F43:F108)</f>
        <v/>
      </c>
      <c r="G109" s="12">
        <f>SUM(G43:G108)</f>
        <v/>
      </c>
      <c r="H109" s="12">
        <f>SUM(H43:H108)</f>
        <v/>
      </c>
      <c r="I109" s="12">
        <f>SUM(I43:I108)</f>
        <v/>
      </c>
      <c r="J109" s="12">
        <f>SUM(J43:J108)</f>
        <v/>
      </c>
      <c r="K109" s="12">
        <f>SUM(K43:K108)</f>
        <v/>
      </c>
      <c r="L109" s="12">
        <f>SUM(L43:L108)</f>
        <v/>
      </c>
      <c r="M109" s="12">
        <f>SUM(M43:M108)</f>
        <v/>
      </c>
      <c r="N109" s="12">
        <f>SUM(B109:M109)</f>
        <v/>
      </c>
    </row>
    <row r="110"/>
    <row r="111">
      <c r="A111" s="11" t="inlineStr">
        <is>
          <t>GROSS PROFIT</t>
        </is>
      </c>
      <c r="B111" s="12">
        <f>B40-B109</f>
        <v/>
      </c>
      <c r="C111" s="12">
        <f>C40-C109</f>
        <v/>
      </c>
      <c r="D111" s="12">
        <f>D40-D109</f>
        <v/>
      </c>
      <c r="E111" s="12">
        <f>E40-E109</f>
        <v/>
      </c>
      <c r="F111" s="12">
        <f>F40-F109</f>
        <v/>
      </c>
      <c r="G111" s="12">
        <f>G40-G109</f>
        <v/>
      </c>
      <c r="H111" s="12">
        <f>H40-H109</f>
        <v/>
      </c>
      <c r="I111" s="12">
        <f>I40-I109</f>
        <v/>
      </c>
      <c r="J111" s="12">
        <f>J40-J109</f>
        <v/>
      </c>
      <c r="K111" s="12">
        <f>K40-K109</f>
        <v/>
      </c>
      <c r="L111" s="12">
        <f>L40-L109</f>
        <v/>
      </c>
      <c r="M111" s="12">
        <f>M40-M109</f>
        <v/>
      </c>
      <c r="N111" s="12">
        <f>SUM(B111:M111)</f>
        <v/>
      </c>
    </row>
    <row r="112">
      <c r="A112" s="11" t="inlineStr">
        <is>
          <t>Gross Profit %</t>
        </is>
      </c>
      <c r="B112" s="13">
        <f>IFERROR(B111/B40,0)</f>
        <v/>
      </c>
      <c r="C112" s="13">
        <f>IFERROR(C111/C40,0)</f>
        <v/>
      </c>
      <c r="D112" s="13">
        <f>IFERROR(D111/D40,0)</f>
        <v/>
      </c>
      <c r="E112" s="13">
        <f>IFERROR(E111/E40,0)</f>
        <v/>
      </c>
      <c r="F112" s="13">
        <f>IFERROR(F111/F40,0)</f>
        <v/>
      </c>
      <c r="G112" s="13">
        <f>IFERROR(G111/G40,0)</f>
        <v/>
      </c>
      <c r="H112" s="13">
        <f>IFERROR(H111/H40,0)</f>
        <v/>
      </c>
      <c r="I112" s="13">
        <f>IFERROR(I111/I40,0)</f>
        <v/>
      </c>
      <c r="J112" s="13">
        <f>IFERROR(J111/J40,0)</f>
        <v/>
      </c>
      <c r="K112" s="13">
        <f>IFERROR(K111/K40,0)</f>
        <v/>
      </c>
      <c r="L112" s="13">
        <f>IFERROR(L111/L40,0)</f>
        <v/>
      </c>
      <c r="M112" s="13">
        <f>IFERROR(M111/M40,0)</f>
        <v/>
      </c>
      <c r="N112" s="13">
        <f>SUM(B112:M112)</f>
        <v/>
      </c>
    </row>
    <row r="113"/>
    <row r="114">
      <c r="A114" s="7" t="inlineStr">
        <is>
          <t>OTHER INCOME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5" t="inlineStr">
        <is>
          <t>Cash Flow Boost</t>
        </is>
      </c>
      <c r="B115" s="9">
        <f>SUMIFS(Actuals!$P:$P,Actuals!$A:$A,$A115)</f>
        <v/>
      </c>
      <c r="C115" s="9">
        <f>SUMIFS(Actuals!$Q:$Q,Actuals!$A:$A,$A115)</f>
        <v/>
      </c>
      <c r="D115" s="9">
        <f>SUMIFS(Actuals!$R:$R,Actuals!$A:$A,$A115)</f>
        <v/>
      </c>
      <c r="E115" s="9">
        <f>SUMIFS(Actuals!$S:$S,Actuals!$A:$A,$A115)</f>
        <v/>
      </c>
      <c r="F115" s="9">
        <f>SUMIFS(Actuals!$T:$T,Actuals!$A:$A,$A115)</f>
        <v/>
      </c>
      <c r="G115" s="9">
        <f>SUMIFS(Actuals!$U:$U,Actuals!$A:$A,$A115)</f>
        <v/>
      </c>
      <c r="H115" s="9">
        <f>SUMIFS(Actuals!$V:$V,Actuals!$A:$A,$A115)</f>
        <v/>
      </c>
      <c r="I115" s="9">
        <f>SUMIFS(Actuals!$W:$W,Actuals!$A:$A,$A115)</f>
        <v/>
      </c>
      <c r="J115" s="9">
        <f>SUMIFS(Actuals!$X:$X,Actuals!$A:$A,$A115)</f>
        <v/>
      </c>
      <c r="K115" s="9">
        <f>SUMIFS(Actuals!$Y:$Y,Actuals!$A:$A,$A115)</f>
        <v/>
      </c>
      <c r="L115" s="9">
        <f>SUMIFS(Actuals!$Z:$Z,Actuals!$A:$A,$A115)</f>
        <v/>
      </c>
      <c r="M115" s="9">
        <f>SUMIFS(Actuals!$AA:$AA,Actuals!$A:$A,$A115)</f>
        <v/>
      </c>
      <c r="N115" s="10">
        <f>SUM(B115:M115)</f>
        <v/>
      </c>
    </row>
    <row r="116">
      <c r="A116" s="5" t="inlineStr">
        <is>
          <t>Employee FBT Contribtution</t>
        </is>
      </c>
      <c r="B116" s="9">
        <f>SUMIFS(Actuals!$P:$P,Actuals!$A:$A,$A116)</f>
        <v/>
      </c>
      <c r="C116" s="9">
        <f>SUMIFS(Actuals!$Q:$Q,Actuals!$A:$A,$A116)</f>
        <v/>
      </c>
      <c r="D116" s="9">
        <f>SUMIFS(Actuals!$R:$R,Actuals!$A:$A,$A116)</f>
        <v/>
      </c>
      <c r="E116" s="9">
        <f>SUMIFS(Actuals!$S:$S,Actuals!$A:$A,$A116)</f>
        <v/>
      </c>
      <c r="F116" s="9">
        <f>SUMIFS(Actuals!$T:$T,Actuals!$A:$A,$A116)</f>
        <v/>
      </c>
      <c r="G116" s="9">
        <f>SUMIFS(Actuals!$U:$U,Actuals!$A:$A,$A116)</f>
        <v/>
      </c>
      <c r="H116" s="9">
        <f>SUMIFS(Actuals!$V:$V,Actuals!$A:$A,$A116)</f>
        <v/>
      </c>
      <c r="I116" s="9">
        <f>SUMIFS(Actuals!$W:$W,Actuals!$A:$A,$A116)</f>
        <v/>
      </c>
      <c r="J116" s="9">
        <f>SUMIFS(Actuals!$X:$X,Actuals!$A:$A,$A116)</f>
        <v/>
      </c>
      <c r="K116" s="9">
        <f>SUMIFS(Actuals!$Y:$Y,Actuals!$A:$A,$A116)</f>
        <v/>
      </c>
      <c r="L116" s="9">
        <f>SUMIFS(Actuals!$Z:$Z,Actuals!$A:$A,$A116)</f>
        <v/>
      </c>
      <c r="M116" s="9">
        <f>SUMIFS(Actuals!$AA:$AA,Actuals!$A:$A,$A116)</f>
        <v/>
      </c>
      <c r="N116" s="10">
        <f>SUM(B116:M116)</f>
        <v/>
      </c>
    </row>
    <row r="117">
      <c r="A117" s="5" t="inlineStr">
        <is>
          <t>Gain on lease termination</t>
        </is>
      </c>
      <c r="B117" s="9">
        <f>SUMIFS(Actuals!$P:$P,Actuals!$A:$A,$A117)</f>
        <v/>
      </c>
      <c r="C117" s="9">
        <f>SUMIFS(Actuals!$Q:$Q,Actuals!$A:$A,$A117)</f>
        <v/>
      </c>
      <c r="D117" s="9">
        <f>SUMIFS(Actuals!$R:$R,Actuals!$A:$A,$A117)</f>
        <v/>
      </c>
      <c r="E117" s="9">
        <f>SUMIFS(Actuals!$S:$S,Actuals!$A:$A,$A117)</f>
        <v/>
      </c>
      <c r="F117" s="9">
        <f>SUMIFS(Actuals!$T:$T,Actuals!$A:$A,$A117)</f>
        <v/>
      </c>
      <c r="G117" s="9">
        <f>SUMIFS(Actuals!$U:$U,Actuals!$A:$A,$A117)</f>
        <v/>
      </c>
      <c r="H117" s="9">
        <f>SUMIFS(Actuals!$V:$V,Actuals!$A:$A,$A117)</f>
        <v/>
      </c>
      <c r="I117" s="9">
        <f>SUMIFS(Actuals!$W:$W,Actuals!$A:$A,$A117)</f>
        <v/>
      </c>
      <c r="J117" s="9">
        <f>SUMIFS(Actuals!$X:$X,Actuals!$A:$A,$A117)</f>
        <v/>
      </c>
      <c r="K117" s="9">
        <f>SUMIFS(Actuals!$Y:$Y,Actuals!$A:$A,$A117)</f>
        <v/>
      </c>
      <c r="L117" s="9">
        <f>SUMIFS(Actuals!$Z:$Z,Actuals!$A:$A,$A117)</f>
        <v/>
      </c>
      <c r="M117" s="9">
        <f>SUMIFS(Actuals!$AA:$AA,Actuals!$A:$A,$A117)</f>
        <v/>
      </c>
      <c r="N117" s="10">
        <f>SUM(B117:M117)</f>
        <v/>
      </c>
    </row>
    <row r="118">
      <c r="A118" s="5" t="inlineStr">
        <is>
          <t>Income Other</t>
        </is>
      </c>
      <c r="B118" s="9">
        <f>SUMIFS(Actuals!$P:$P,Actuals!$A:$A,$A118)</f>
        <v/>
      </c>
      <c r="C118" s="9">
        <f>SUMIFS(Actuals!$Q:$Q,Actuals!$A:$A,$A118)</f>
        <v/>
      </c>
      <c r="D118" s="9">
        <f>SUMIFS(Actuals!$R:$R,Actuals!$A:$A,$A118)</f>
        <v/>
      </c>
      <c r="E118" s="9">
        <f>SUMIFS(Actuals!$S:$S,Actuals!$A:$A,$A118)</f>
        <v/>
      </c>
      <c r="F118" s="9">
        <f>SUMIFS(Actuals!$T:$T,Actuals!$A:$A,$A118)</f>
        <v/>
      </c>
      <c r="G118" s="9">
        <f>SUMIFS(Actuals!$U:$U,Actuals!$A:$A,$A118)</f>
        <v/>
      </c>
      <c r="H118" s="9">
        <f>SUMIFS(Actuals!$V:$V,Actuals!$A:$A,$A118)</f>
        <v/>
      </c>
      <c r="I118" s="9">
        <f>SUMIFS(Actuals!$W:$W,Actuals!$A:$A,$A118)</f>
        <v/>
      </c>
      <c r="J118" s="9">
        <f>SUMIFS(Actuals!$X:$X,Actuals!$A:$A,$A118)</f>
        <v/>
      </c>
      <c r="K118" s="9">
        <f>SUMIFS(Actuals!$Y:$Y,Actuals!$A:$A,$A118)</f>
        <v/>
      </c>
      <c r="L118" s="9">
        <f>SUMIFS(Actuals!$Z:$Z,Actuals!$A:$A,$A118)</f>
        <v/>
      </c>
      <c r="M118" s="9">
        <f>SUMIFS(Actuals!$AA:$AA,Actuals!$A:$A,$A118)</f>
        <v/>
      </c>
      <c r="N118" s="10">
        <f>SUM(B118:M118)</f>
        <v/>
      </c>
    </row>
    <row r="119">
      <c r="A119" s="5" t="inlineStr">
        <is>
          <t>Interest Income</t>
        </is>
      </c>
      <c r="B119" s="9">
        <f>SUMIFS(Actuals!$P:$P,Actuals!$A:$A,$A119)</f>
        <v/>
      </c>
      <c r="C119" s="9">
        <f>SUMIFS(Actuals!$Q:$Q,Actuals!$A:$A,$A119)</f>
        <v/>
      </c>
      <c r="D119" s="9">
        <f>SUMIFS(Actuals!$R:$R,Actuals!$A:$A,$A119)</f>
        <v/>
      </c>
      <c r="E119" s="9">
        <f>SUMIFS(Actuals!$S:$S,Actuals!$A:$A,$A119)</f>
        <v/>
      </c>
      <c r="F119" s="9">
        <f>SUMIFS(Actuals!$T:$T,Actuals!$A:$A,$A119)</f>
        <v/>
      </c>
      <c r="G119" s="9">
        <f>SUMIFS(Actuals!$U:$U,Actuals!$A:$A,$A119)</f>
        <v/>
      </c>
      <c r="H119" s="9">
        <f>SUMIFS(Actuals!$V:$V,Actuals!$A:$A,$A119)</f>
        <v/>
      </c>
      <c r="I119" s="9">
        <f>SUMIFS(Actuals!$W:$W,Actuals!$A:$A,$A119)</f>
        <v/>
      </c>
      <c r="J119" s="9">
        <f>SUMIFS(Actuals!$X:$X,Actuals!$A:$A,$A119)</f>
        <v/>
      </c>
      <c r="K119" s="9">
        <f>SUMIFS(Actuals!$Y:$Y,Actuals!$A:$A,$A119)</f>
        <v/>
      </c>
      <c r="L119" s="9">
        <f>SUMIFS(Actuals!$Z:$Z,Actuals!$A:$A,$A119)</f>
        <v/>
      </c>
      <c r="M119" s="9">
        <f>SUMIFS(Actuals!$AA:$AA,Actuals!$A:$A,$A119)</f>
        <v/>
      </c>
      <c r="N119" s="10">
        <f>SUM(B119:M119)</f>
        <v/>
      </c>
    </row>
    <row r="120">
      <c r="A120" s="5" t="inlineStr">
        <is>
          <t>Interest Received</t>
        </is>
      </c>
      <c r="B120" s="9">
        <f>SUMIFS(Actuals!$P:$P,Actuals!$A:$A,$A120)</f>
        <v/>
      </c>
      <c r="C120" s="9">
        <f>SUMIFS(Actuals!$Q:$Q,Actuals!$A:$A,$A120)</f>
        <v/>
      </c>
      <c r="D120" s="9">
        <f>SUMIFS(Actuals!$R:$R,Actuals!$A:$A,$A120)</f>
        <v/>
      </c>
      <c r="E120" s="9">
        <f>SUMIFS(Actuals!$S:$S,Actuals!$A:$A,$A120)</f>
        <v/>
      </c>
      <c r="F120" s="9">
        <f>SUMIFS(Actuals!$T:$T,Actuals!$A:$A,$A120)</f>
        <v/>
      </c>
      <c r="G120" s="9">
        <f>SUMIFS(Actuals!$U:$U,Actuals!$A:$A,$A120)</f>
        <v/>
      </c>
      <c r="H120" s="9">
        <f>SUMIFS(Actuals!$V:$V,Actuals!$A:$A,$A120)</f>
        <v/>
      </c>
      <c r="I120" s="9">
        <f>SUMIFS(Actuals!$W:$W,Actuals!$A:$A,$A120)</f>
        <v/>
      </c>
      <c r="J120" s="9">
        <f>SUMIFS(Actuals!$X:$X,Actuals!$A:$A,$A120)</f>
        <v/>
      </c>
      <c r="K120" s="9">
        <f>SUMIFS(Actuals!$Y:$Y,Actuals!$A:$A,$A120)</f>
        <v/>
      </c>
      <c r="L120" s="9">
        <f>SUMIFS(Actuals!$Z:$Z,Actuals!$A:$A,$A120)</f>
        <v/>
      </c>
      <c r="M120" s="9">
        <f>SUMIFS(Actuals!$AA:$AA,Actuals!$A:$A,$A120)</f>
        <v/>
      </c>
      <c r="N120" s="10">
        <f>SUM(B120:M120)</f>
        <v/>
      </c>
    </row>
    <row r="121">
      <c r="A121" s="5" t="inlineStr">
        <is>
          <t>JobKeeper Subsidy</t>
        </is>
      </c>
      <c r="B121" s="9">
        <f>SUMIFS(Actuals!$P:$P,Actuals!$A:$A,$A121)</f>
        <v/>
      </c>
      <c r="C121" s="9">
        <f>SUMIFS(Actuals!$Q:$Q,Actuals!$A:$A,$A121)</f>
        <v/>
      </c>
      <c r="D121" s="9">
        <f>SUMIFS(Actuals!$R:$R,Actuals!$A:$A,$A121)</f>
        <v/>
      </c>
      <c r="E121" s="9">
        <f>SUMIFS(Actuals!$S:$S,Actuals!$A:$A,$A121)</f>
        <v/>
      </c>
      <c r="F121" s="9">
        <f>SUMIFS(Actuals!$T:$T,Actuals!$A:$A,$A121)</f>
        <v/>
      </c>
      <c r="G121" s="9">
        <f>SUMIFS(Actuals!$U:$U,Actuals!$A:$A,$A121)</f>
        <v/>
      </c>
      <c r="H121" s="9">
        <f>SUMIFS(Actuals!$V:$V,Actuals!$A:$A,$A121)</f>
        <v/>
      </c>
      <c r="I121" s="9">
        <f>SUMIFS(Actuals!$W:$W,Actuals!$A:$A,$A121)</f>
        <v/>
      </c>
      <c r="J121" s="9">
        <f>SUMIFS(Actuals!$X:$X,Actuals!$A:$A,$A121)</f>
        <v/>
      </c>
      <c r="K121" s="9">
        <f>SUMIFS(Actuals!$Y:$Y,Actuals!$A:$A,$A121)</f>
        <v/>
      </c>
      <c r="L121" s="9">
        <f>SUMIFS(Actuals!$Z:$Z,Actuals!$A:$A,$A121)</f>
        <v/>
      </c>
      <c r="M121" s="9">
        <f>SUMIFS(Actuals!$AA:$AA,Actuals!$A:$A,$A121)</f>
        <v/>
      </c>
      <c r="N121" s="10">
        <f>SUM(B121:M121)</f>
        <v/>
      </c>
    </row>
    <row r="122">
      <c r="A122" s="5" t="inlineStr">
        <is>
          <t>JobSaver Subsidy</t>
        </is>
      </c>
      <c r="B122" s="9">
        <f>SUMIFS(Actuals!$P:$P,Actuals!$A:$A,$A122)</f>
        <v/>
      </c>
      <c r="C122" s="9">
        <f>SUMIFS(Actuals!$Q:$Q,Actuals!$A:$A,$A122)</f>
        <v/>
      </c>
      <c r="D122" s="9">
        <f>SUMIFS(Actuals!$R:$R,Actuals!$A:$A,$A122)</f>
        <v/>
      </c>
      <c r="E122" s="9">
        <f>SUMIFS(Actuals!$S:$S,Actuals!$A:$A,$A122)</f>
        <v/>
      </c>
      <c r="F122" s="9">
        <f>SUMIFS(Actuals!$T:$T,Actuals!$A:$A,$A122)</f>
        <v/>
      </c>
      <c r="G122" s="9">
        <f>SUMIFS(Actuals!$U:$U,Actuals!$A:$A,$A122)</f>
        <v/>
      </c>
      <c r="H122" s="9">
        <f>SUMIFS(Actuals!$V:$V,Actuals!$A:$A,$A122)</f>
        <v/>
      </c>
      <c r="I122" s="9">
        <f>SUMIFS(Actuals!$W:$W,Actuals!$A:$A,$A122)</f>
        <v/>
      </c>
      <c r="J122" s="9">
        <f>SUMIFS(Actuals!$X:$X,Actuals!$A:$A,$A122)</f>
        <v/>
      </c>
      <c r="K122" s="9">
        <f>SUMIFS(Actuals!$Y:$Y,Actuals!$A:$A,$A122)</f>
        <v/>
      </c>
      <c r="L122" s="9">
        <f>SUMIFS(Actuals!$Z:$Z,Actuals!$A:$A,$A122)</f>
        <v/>
      </c>
      <c r="M122" s="9">
        <f>SUMIFS(Actuals!$AA:$AA,Actuals!$A:$A,$A122)</f>
        <v/>
      </c>
      <c r="N122" s="10">
        <f>SUM(B122:M122)</f>
        <v/>
      </c>
    </row>
    <row r="123">
      <c r="A123" s="5" t="inlineStr">
        <is>
          <t>Rental Income</t>
        </is>
      </c>
      <c r="B123" s="9">
        <f>SUMIFS(Actuals!$P:$P,Actuals!$A:$A,$A123)</f>
        <v/>
      </c>
      <c r="C123" s="9">
        <f>SUMIFS(Actuals!$Q:$Q,Actuals!$A:$A,$A123)</f>
        <v/>
      </c>
      <c r="D123" s="9">
        <f>SUMIFS(Actuals!$R:$R,Actuals!$A:$A,$A123)</f>
        <v/>
      </c>
      <c r="E123" s="9">
        <f>SUMIFS(Actuals!$S:$S,Actuals!$A:$A,$A123)</f>
        <v/>
      </c>
      <c r="F123" s="9">
        <f>SUMIFS(Actuals!$T:$T,Actuals!$A:$A,$A123)</f>
        <v/>
      </c>
      <c r="G123" s="9">
        <f>SUMIFS(Actuals!$U:$U,Actuals!$A:$A,$A123)</f>
        <v/>
      </c>
      <c r="H123" s="9">
        <f>SUMIFS(Actuals!$V:$V,Actuals!$A:$A,$A123)</f>
        <v/>
      </c>
      <c r="I123" s="9">
        <f>SUMIFS(Actuals!$W:$W,Actuals!$A:$A,$A123)</f>
        <v/>
      </c>
      <c r="J123" s="9">
        <f>SUMIFS(Actuals!$X:$X,Actuals!$A:$A,$A123)</f>
        <v/>
      </c>
      <c r="K123" s="9">
        <f>SUMIFS(Actuals!$Y:$Y,Actuals!$A:$A,$A123)</f>
        <v/>
      </c>
      <c r="L123" s="9">
        <f>SUMIFS(Actuals!$Z:$Z,Actuals!$A:$A,$A123)</f>
        <v/>
      </c>
      <c r="M123" s="9">
        <f>SUMIFS(Actuals!$AA:$AA,Actuals!$A:$A,$A123)</f>
        <v/>
      </c>
      <c r="N123" s="10">
        <f>SUM(B123:M123)</f>
        <v/>
      </c>
    </row>
    <row r="124">
      <c r="A124" s="11" t="inlineStr">
        <is>
          <t>Total Other Income</t>
        </is>
      </c>
      <c r="B124" s="12">
        <f>SUM(B115:B123)</f>
        <v/>
      </c>
      <c r="C124" s="12">
        <f>SUM(C115:C123)</f>
        <v/>
      </c>
      <c r="D124" s="12">
        <f>SUM(D115:D123)</f>
        <v/>
      </c>
      <c r="E124" s="12">
        <f>SUM(E115:E123)</f>
        <v/>
      </c>
      <c r="F124" s="12">
        <f>SUM(F115:F123)</f>
        <v/>
      </c>
      <c r="G124" s="12">
        <f>SUM(G115:G123)</f>
        <v/>
      </c>
      <c r="H124" s="12">
        <f>SUM(H115:H123)</f>
        <v/>
      </c>
      <c r="I124" s="12">
        <f>SUM(I115:I123)</f>
        <v/>
      </c>
      <c r="J124" s="12">
        <f>SUM(J115:J123)</f>
        <v/>
      </c>
      <c r="K124" s="12">
        <f>SUM(K115:K123)</f>
        <v/>
      </c>
      <c r="L124" s="12">
        <f>SUM(L115:L123)</f>
        <v/>
      </c>
      <c r="M124" s="12">
        <f>SUM(M115:M123)</f>
        <v/>
      </c>
      <c r="N124" s="12">
        <f>SUM(B124:M124)</f>
        <v/>
      </c>
    </row>
    <row r="125"/>
    <row r="126">
      <c r="A126" s="7" t="inlineStr">
        <is>
          <t>EXPENSES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5" t="inlineStr">
        <is>
          <t>1300 Number</t>
        </is>
      </c>
      <c r="B127" s="9">
        <f>SUMIFS(Actuals!$P:$P,Actuals!$A:$A,$A127)</f>
        <v/>
      </c>
      <c r="C127" s="9">
        <f>SUMIFS(Actuals!$Q:$Q,Actuals!$A:$A,$A127)</f>
        <v/>
      </c>
      <c r="D127" s="9">
        <f>SUMIFS(Actuals!$R:$R,Actuals!$A:$A,$A127)</f>
        <v/>
      </c>
      <c r="E127" s="9">
        <f>SUMIFS(Actuals!$S:$S,Actuals!$A:$A,$A127)</f>
        <v/>
      </c>
      <c r="F127" s="9">
        <f>SUMIFS(Actuals!$T:$T,Actuals!$A:$A,$A127)</f>
        <v/>
      </c>
      <c r="G127" s="9">
        <f>SUMIFS(Actuals!$U:$U,Actuals!$A:$A,$A127)</f>
        <v/>
      </c>
      <c r="H127" s="9">
        <f>SUMIFS(Actuals!$V:$V,Actuals!$A:$A,$A127)</f>
        <v/>
      </c>
      <c r="I127" s="9">
        <f>SUMIFS(Actuals!$W:$W,Actuals!$A:$A,$A127)</f>
        <v/>
      </c>
      <c r="J127" s="9">
        <f>SUMIFS(Actuals!$X:$X,Actuals!$A:$A,$A127)</f>
        <v/>
      </c>
      <c r="K127" s="9">
        <f>SUMIFS(Actuals!$Y:$Y,Actuals!$A:$A,$A127)</f>
        <v/>
      </c>
      <c r="L127" s="9">
        <f>SUMIFS(Actuals!$Z:$Z,Actuals!$A:$A,$A127)</f>
        <v/>
      </c>
      <c r="M127" s="9">
        <f>SUMIFS(Actuals!$AA:$AA,Actuals!$A:$A,$A127)</f>
        <v/>
      </c>
      <c r="N127" s="10">
        <f>SUM(B127:M127)</f>
        <v/>
      </c>
    </row>
    <row r="128">
      <c r="A128" s="5" t="inlineStr">
        <is>
          <t>Accounting Fees</t>
        </is>
      </c>
      <c r="B128" s="9">
        <f>SUMIFS(Actuals!$P:$P,Actuals!$A:$A,$A128)</f>
        <v/>
      </c>
      <c r="C128" s="9">
        <f>SUMIFS(Actuals!$Q:$Q,Actuals!$A:$A,$A128)</f>
        <v/>
      </c>
      <c r="D128" s="9">
        <f>SUMIFS(Actuals!$R:$R,Actuals!$A:$A,$A128)</f>
        <v/>
      </c>
      <c r="E128" s="9">
        <f>SUMIFS(Actuals!$S:$S,Actuals!$A:$A,$A128)</f>
        <v/>
      </c>
      <c r="F128" s="9">
        <f>SUMIFS(Actuals!$T:$T,Actuals!$A:$A,$A128)</f>
        <v/>
      </c>
      <c r="G128" s="9">
        <f>SUMIFS(Actuals!$U:$U,Actuals!$A:$A,$A128)</f>
        <v/>
      </c>
      <c r="H128" s="9">
        <f>SUMIFS(Actuals!$V:$V,Actuals!$A:$A,$A128)</f>
        <v/>
      </c>
      <c r="I128" s="9">
        <f>SUMIFS(Actuals!$W:$W,Actuals!$A:$A,$A128)</f>
        <v/>
      </c>
      <c r="J128" s="9">
        <f>SUMIFS(Actuals!$X:$X,Actuals!$A:$A,$A128)</f>
        <v/>
      </c>
      <c r="K128" s="9">
        <f>SUMIFS(Actuals!$Y:$Y,Actuals!$A:$A,$A128)</f>
        <v/>
      </c>
      <c r="L128" s="9">
        <f>SUMIFS(Actuals!$Z:$Z,Actuals!$A:$A,$A128)</f>
        <v/>
      </c>
      <c r="M128" s="9">
        <f>SUMIFS(Actuals!$AA:$AA,Actuals!$A:$A,$A128)</f>
        <v/>
      </c>
      <c r="N128" s="10">
        <f>SUM(B128:M128)</f>
        <v/>
      </c>
    </row>
    <row r="129">
      <c r="A129" s="5" t="inlineStr">
        <is>
          <t>Advertising</t>
        </is>
      </c>
      <c r="B129" s="9">
        <f>SUMIFS(Actuals!$P:$P,Actuals!$A:$A,$A129)</f>
        <v/>
      </c>
      <c r="C129" s="9">
        <f>SUMIFS(Actuals!$Q:$Q,Actuals!$A:$A,$A129)</f>
        <v/>
      </c>
      <c r="D129" s="9">
        <f>SUMIFS(Actuals!$R:$R,Actuals!$A:$A,$A129)</f>
        <v/>
      </c>
      <c r="E129" s="9">
        <f>SUMIFS(Actuals!$S:$S,Actuals!$A:$A,$A129)</f>
        <v/>
      </c>
      <c r="F129" s="9">
        <f>SUMIFS(Actuals!$T:$T,Actuals!$A:$A,$A129)</f>
        <v/>
      </c>
      <c r="G129" s="9">
        <f>SUMIFS(Actuals!$U:$U,Actuals!$A:$A,$A129)</f>
        <v/>
      </c>
      <c r="H129" s="9">
        <f>SUMIFS(Actuals!$V:$V,Actuals!$A:$A,$A129)</f>
        <v/>
      </c>
      <c r="I129" s="9">
        <f>SUMIFS(Actuals!$W:$W,Actuals!$A:$A,$A129)</f>
        <v/>
      </c>
      <c r="J129" s="9">
        <f>SUMIFS(Actuals!$X:$X,Actuals!$A:$A,$A129)</f>
        <v/>
      </c>
      <c r="K129" s="9">
        <f>SUMIFS(Actuals!$Y:$Y,Actuals!$A:$A,$A129)</f>
        <v/>
      </c>
      <c r="L129" s="9">
        <f>SUMIFS(Actuals!$Z:$Z,Actuals!$A:$A,$A129)</f>
        <v/>
      </c>
      <c r="M129" s="9">
        <f>SUMIFS(Actuals!$AA:$AA,Actuals!$A:$A,$A129)</f>
        <v/>
      </c>
      <c r="N129" s="10">
        <f>SUM(B129:M129)</f>
        <v/>
      </c>
    </row>
    <row r="130">
      <c r="A130" s="5" t="inlineStr">
        <is>
          <t>Bad Debts</t>
        </is>
      </c>
      <c r="B130" s="9">
        <f>SUMIFS(Actuals!$P:$P,Actuals!$A:$A,$A130)</f>
        <v/>
      </c>
      <c r="C130" s="9">
        <f>SUMIFS(Actuals!$Q:$Q,Actuals!$A:$A,$A130)</f>
        <v/>
      </c>
      <c r="D130" s="9">
        <f>SUMIFS(Actuals!$R:$R,Actuals!$A:$A,$A130)</f>
        <v/>
      </c>
      <c r="E130" s="9">
        <f>SUMIFS(Actuals!$S:$S,Actuals!$A:$A,$A130)</f>
        <v/>
      </c>
      <c r="F130" s="9">
        <f>SUMIFS(Actuals!$T:$T,Actuals!$A:$A,$A130)</f>
        <v/>
      </c>
      <c r="G130" s="9">
        <f>SUMIFS(Actuals!$U:$U,Actuals!$A:$A,$A130)</f>
        <v/>
      </c>
      <c r="H130" s="9">
        <f>SUMIFS(Actuals!$V:$V,Actuals!$A:$A,$A130)</f>
        <v/>
      </c>
      <c r="I130" s="9">
        <f>SUMIFS(Actuals!$W:$W,Actuals!$A:$A,$A130)</f>
        <v/>
      </c>
      <c r="J130" s="9">
        <f>SUMIFS(Actuals!$X:$X,Actuals!$A:$A,$A130)</f>
        <v/>
      </c>
      <c r="K130" s="9">
        <f>SUMIFS(Actuals!$Y:$Y,Actuals!$A:$A,$A130)</f>
        <v/>
      </c>
      <c r="L130" s="9">
        <f>SUMIFS(Actuals!$Z:$Z,Actuals!$A:$A,$A130)</f>
        <v/>
      </c>
      <c r="M130" s="9">
        <f>SUMIFS(Actuals!$AA:$AA,Actuals!$A:$A,$A130)</f>
        <v/>
      </c>
      <c r="N130" s="10">
        <f>SUM(B130:M130)</f>
        <v/>
      </c>
    </row>
    <row r="131">
      <c r="A131" s="5" t="inlineStr">
        <is>
          <t>Bank Charges</t>
        </is>
      </c>
      <c r="B131" s="9">
        <f>SUMIFS(Actuals!$P:$P,Actuals!$A:$A,$A131)</f>
        <v/>
      </c>
      <c r="C131" s="9">
        <f>SUMIFS(Actuals!$Q:$Q,Actuals!$A:$A,$A131)</f>
        <v/>
      </c>
      <c r="D131" s="9">
        <f>SUMIFS(Actuals!$R:$R,Actuals!$A:$A,$A131)</f>
        <v/>
      </c>
      <c r="E131" s="9">
        <f>SUMIFS(Actuals!$S:$S,Actuals!$A:$A,$A131)</f>
        <v/>
      </c>
      <c r="F131" s="9">
        <f>SUMIFS(Actuals!$T:$T,Actuals!$A:$A,$A131)</f>
        <v/>
      </c>
      <c r="G131" s="9">
        <f>SUMIFS(Actuals!$U:$U,Actuals!$A:$A,$A131)</f>
        <v/>
      </c>
      <c r="H131" s="9">
        <f>SUMIFS(Actuals!$V:$V,Actuals!$A:$A,$A131)</f>
        <v/>
      </c>
      <c r="I131" s="9">
        <f>SUMIFS(Actuals!$W:$W,Actuals!$A:$A,$A131)</f>
        <v/>
      </c>
      <c r="J131" s="9">
        <f>SUMIFS(Actuals!$X:$X,Actuals!$A:$A,$A131)</f>
        <v/>
      </c>
      <c r="K131" s="9">
        <f>SUMIFS(Actuals!$Y:$Y,Actuals!$A:$A,$A131)</f>
        <v/>
      </c>
      <c r="L131" s="9">
        <f>SUMIFS(Actuals!$Z:$Z,Actuals!$A:$A,$A131)</f>
        <v/>
      </c>
      <c r="M131" s="9">
        <f>SUMIFS(Actuals!$AA:$AA,Actuals!$A:$A,$A131)</f>
        <v/>
      </c>
      <c r="N131" s="10">
        <f>SUM(B131:M131)</f>
        <v/>
      </c>
    </row>
    <row r="132">
      <c r="A132" s="5" t="inlineStr">
        <is>
          <t>Bank Revaluations</t>
        </is>
      </c>
      <c r="B132" s="9">
        <f>SUMIFS(Actuals!$P:$P,Actuals!$A:$A,$A132)</f>
        <v/>
      </c>
      <c r="C132" s="9">
        <f>SUMIFS(Actuals!$Q:$Q,Actuals!$A:$A,$A132)</f>
        <v/>
      </c>
      <c r="D132" s="9">
        <f>SUMIFS(Actuals!$R:$R,Actuals!$A:$A,$A132)</f>
        <v/>
      </c>
      <c r="E132" s="9">
        <f>SUMIFS(Actuals!$S:$S,Actuals!$A:$A,$A132)</f>
        <v/>
      </c>
      <c r="F132" s="9">
        <f>SUMIFS(Actuals!$T:$T,Actuals!$A:$A,$A132)</f>
        <v/>
      </c>
      <c r="G132" s="9">
        <f>SUMIFS(Actuals!$U:$U,Actuals!$A:$A,$A132)</f>
        <v/>
      </c>
      <c r="H132" s="9">
        <f>SUMIFS(Actuals!$V:$V,Actuals!$A:$A,$A132)</f>
        <v/>
      </c>
      <c r="I132" s="9">
        <f>SUMIFS(Actuals!$W:$W,Actuals!$A:$A,$A132)</f>
        <v/>
      </c>
      <c r="J132" s="9">
        <f>SUMIFS(Actuals!$X:$X,Actuals!$A:$A,$A132)</f>
        <v/>
      </c>
      <c r="K132" s="9">
        <f>SUMIFS(Actuals!$Y:$Y,Actuals!$A:$A,$A132)</f>
        <v/>
      </c>
      <c r="L132" s="9">
        <f>SUMIFS(Actuals!$Z:$Z,Actuals!$A:$A,$A132)</f>
        <v/>
      </c>
      <c r="M132" s="9">
        <f>SUMIFS(Actuals!$AA:$AA,Actuals!$A:$A,$A132)</f>
        <v/>
      </c>
      <c r="N132" s="10">
        <f>SUM(B132:M132)</f>
        <v/>
      </c>
    </row>
    <row r="133">
      <c r="A133" s="5" t="inlineStr">
        <is>
          <t>Business Advisory</t>
        </is>
      </c>
      <c r="B133" s="9">
        <f>SUMIFS(Actuals!$P:$P,Actuals!$A:$A,$A133)</f>
        <v/>
      </c>
      <c r="C133" s="9">
        <f>SUMIFS(Actuals!$Q:$Q,Actuals!$A:$A,$A133)</f>
        <v/>
      </c>
      <c r="D133" s="9">
        <f>SUMIFS(Actuals!$R:$R,Actuals!$A:$A,$A133)</f>
        <v/>
      </c>
      <c r="E133" s="9">
        <f>SUMIFS(Actuals!$S:$S,Actuals!$A:$A,$A133)</f>
        <v/>
      </c>
      <c r="F133" s="9">
        <f>SUMIFS(Actuals!$T:$T,Actuals!$A:$A,$A133)</f>
        <v/>
      </c>
      <c r="G133" s="9">
        <f>SUMIFS(Actuals!$U:$U,Actuals!$A:$A,$A133)</f>
        <v/>
      </c>
      <c r="H133" s="9">
        <f>SUMIFS(Actuals!$V:$V,Actuals!$A:$A,$A133)</f>
        <v/>
      </c>
      <c r="I133" s="9">
        <f>SUMIFS(Actuals!$W:$W,Actuals!$A:$A,$A133)</f>
        <v/>
      </c>
      <c r="J133" s="9">
        <f>SUMIFS(Actuals!$X:$X,Actuals!$A:$A,$A133)</f>
        <v/>
      </c>
      <c r="K133" s="9">
        <f>SUMIFS(Actuals!$Y:$Y,Actuals!$A:$A,$A133)</f>
        <v/>
      </c>
      <c r="L133" s="9">
        <f>SUMIFS(Actuals!$Z:$Z,Actuals!$A:$A,$A133)</f>
        <v/>
      </c>
      <c r="M133" s="9">
        <f>SUMIFS(Actuals!$AA:$AA,Actuals!$A:$A,$A133)</f>
        <v/>
      </c>
      <c r="N133" s="10">
        <f>SUM(B133:M133)</f>
        <v/>
      </c>
    </row>
    <row r="134">
      <c r="A134" s="5" t="inlineStr">
        <is>
          <t>Business Combined</t>
        </is>
      </c>
      <c r="B134" s="9">
        <f>SUMIFS(Actuals!$P:$P,Actuals!$A:$A,$A134)</f>
        <v/>
      </c>
      <c r="C134" s="9">
        <f>SUMIFS(Actuals!$Q:$Q,Actuals!$A:$A,$A134)</f>
        <v/>
      </c>
      <c r="D134" s="9">
        <f>SUMIFS(Actuals!$R:$R,Actuals!$A:$A,$A134)</f>
        <v/>
      </c>
      <c r="E134" s="9">
        <f>SUMIFS(Actuals!$S:$S,Actuals!$A:$A,$A134)</f>
        <v/>
      </c>
      <c r="F134" s="9">
        <f>SUMIFS(Actuals!$T:$T,Actuals!$A:$A,$A134)</f>
        <v/>
      </c>
      <c r="G134" s="9">
        <f>SUMIFS(Actuals!$U:$U,Actuals!$A:$A,$A134)</f>
        <v/>
      </c>
      <c r="H134" s="9">
        <f>SUMIFS(Actuals!$V:$V,Actuals!$A:$A,$A134)</f>
        <v/>
      </c>
      <c r="I134" s="9">
        <f>SUMIFS(Actuals!$W:$W,Actuals!$A:$A,$A134)</f>
        <v/>
      </c>
      <c r="J134" s="9">
        <f>SUMIFS(Actuals!$X:$X,Actuals!$A:$A,$A134)</f>
        <v/>
      </c>
      <c r="K134" s="9">
        <f>SUMIFS(Actuals!$Y:$Y,Actuals!$A:$A,$A134)</f>
        <v/>
      </c>
      <c r="L134" s="9">
        <f>SUMIFS(Actuals!$Z:$Z,Actuals!$A:$A,$A134)</f>
        <v/>
      </c>
      <c r="M134" s="9">
        <f>SUMIFS(Actuals!$AA:$AA,Actuals!$A:$A,$A134)</f>
        <v/>
      </c>
      <c r="N134" s="10">
        <f>SUM(B134:M134)</f>
        <v/>
      </c>
    </row>
    <row r="135">
      <c r="A135" s="5" t="inlineStr">
        <is>
          <t>Client Entertainment</t>
        </is>
      </c>
      <c r="B135" s="9">
        <f>SUMIFS(Actuals!$P:$P,Actuals!$A:$A,$A135)</f>
        <v/>
      </c>
      <c r="C135" s="9">
        <f>SUMIFS(Actuals!$Q:$Q,Actuals!$A:$A,$A135)</f>
        <v/>
      </c>
      <c r="D135" s="9">
        <f>SUMIFS(Actuals!$R:$R,Actuals!$A:$A,$A135)</f>
        <v/>
      </c>
      <c r="E135" s="9">
        <f>SUMIFS(Actuals!$S:$S,Actuals!$A:$A,$A135)</f>
        <v/>
      </c>
      <c r="F135" s="9">
        <f>SUMIFS(Actuals!$T:$T,Actuals!$A:$A,$A135)</f>
        <v/>
      </c>
      <c r="G135" s="9">
        <f>SUMIFS(Actuals!$U:$U,Actuals!$A:$A,$A135)</f>
        <v/>
      </c>
      <c r="H135" s="9">
        <f>SUMIFS(Actuals!$V:$V,Actuals!$A:$A,$A135)</f>
        <v/>
      </c>
      <c r="I135" s="9">
        <f>SUMIFS(Actuals!$W:$W,Actuals!$A:$A,$A135)</f>
        <v/>
      </c>
      <c r="J135" s="9">
        <f>SUMIFS(Actuals!$X:$X,Actuals!$A:$A,$A135)</f>
        <v/>
      </c>
      <c r="K135" s="9">
        <f>SUMIFS(Actuals!$Y:$Y,Actuals!$A:$A,$A135)</f>
        <v/>
      </c>
      <c r="L135" s="9">
        <f>SUMIFS(Actuals!$Z:$Z,Actuals!$A:$A,$A135)</f>
        <v/>
      </c>
      <c r="M135" s="9">
        <f>SUMIFS(Actuals!$AA:$AA,Actuals!$A:$A,$A135)</f>
        <v/>
      </c>
      <c r="N135" s="10">
        <f>SUM(B135:M135)</f>
        <v/>
      </c>
    </row>
    <row r="136">
      <c r="A136" s="5" t="inlineStr">
        <is>
          <t>Credit Card Fees Paid</t>
        </is>
      </c>
      <c r="B136" s="9">
        <f>SUMIFS(Actuals!$P:$P,Actuals!$A:$A,$A136)</f>
        <v/>
      </c>
      <c r="C136" s="9">
        <f>SUMIFS(Actuals!$Q:$Q,Actuals!$A:$A,$A136)</f>
        <v/>
      </c>
      <c r="D136" s="9">
        <f>SUMIFS(Actuals!$R:$R,Actuals!$A:$A,$A136)</f>
        <v/>
      </c>
      <c r="E136" s="9">
        <f>SUMIFS(Actuals!$S:$S,Actuals!$A:$A,$A136)</f>
        <v/>
      </c>
      <c r="F136" s="9">
        <f>SUMIFS(Actuals!$T:$T,Actuals!$A:$A,$A136)</f>
        <v/>
      </c>
      <c r="G136" s="9">
        <f>SUMIFS(Actuals!$U:$U,Actuals!$A:$A,$A136)</f>
        <v/>
      </c>
      <c r="H136" s="9">
        <f>SUMIFS(Actuals!$V:$V,Actuals!$A:$A,$A136)</f>
        <v/>
      </c>
      <c r="I136" s="9">
        <f>SUMIFS(Actuals!$W:$W,Actuals!$A:$A,$A136)</f>
        <v/>
      </c>
      <c r="J136" s="9">
        <f>SUMIFS(Actuals!$X:$X,Actuals!$A:$A,$A136)</f>
        <v/>
      </c>
      <c r="K136" s="9">
        <f>SUMIFS(Actuals!$Y:$Y,Actuals!$A:$A,$A136)</f>
        <v/>
      </c>
      <c r="L136" s="9">
        <f>SUMIFS(Actuals!$Z:$Z,Actuals!$A:$A,$A136)</f>
        <v/>
      </c>
      <c r="M136" s="9">
        <f>SUMIFS(Actuals!$AA:$AA,Actuals!$A:$A,$A136)</f>
        <v/>
      </c>
      <c r="N136" s="10">
        <f>SUM(B136:M136)</f>
        <v/>
      </c>
    </row>
    <row r="137">
      <c r="A137" s="5" t="inlineStr">
        <is>
          <t>Custodian Vaults</t>
        </is>
      </c>
      <c r="B137" s="9">
        <f>SUMIFS(Actuals!$P:$P,Actuals!$A:$A,$A137)</f>
        <v/>
      </c>
      <c r="C137" s="9">
        <f>SUMIFS(Actuals!$Q:$Q,Actuals!$A:$A,$A137)</f>
        <v/>
      </c>
      <c r="D137" s="9">
        <f>SUMIFS(Actuals!$R:$R,Actuals!$A:$A,$A137)</f>
        <v/>
      </c>
      <c r="E137" s="9">
        <f>SUMIFS(Actuals!$S:$S,Actuals!$A:$A,$A137)</f>
        <v/>
      </c>
      <c r="F137" s="9">
        <f>SUMIFS(Actuals!$T:$T,Actuals!$A:$A,$A137)</f>
        <v/>
      </c>
      <c r="G137" s="9">
        <f>SUMIFS(Actuals!$U:$U,Actuals!$A:$A,$A137)</f>
        <v/>
      </c>
      <c r="H137" s="9">
        <f>SUMIFS(Actuals!$V:$V,Actuals!$A:$A,$A137)</f>
        <v/>
      </c>
      <c r="I137" s="9">
        <f>SUMIFS(Actuals!$W:$W,Actuals!$A:$A,$A137)</f>
        <v/>
      </c>
      <c r="J137" s="9">
        <f>SUMIFS(Actuals!$X:$X,Actuals!$A:$A,$A137)</f>
        <v/>
      </c>
      <c r="K137" s="9">
        <f>SUMIFS(Actuals!$Y:$Y,Actuals!$A:$A,$A137)</f>
        <v/>
      </c>
      <c r="L137" s="9">
        <f>SUMIFS(Actuals!$Z:$Z,Actuals!$A:$A,$A137)</f>
        <v/>
      </c>
      <c r="M137" s="9">
        <f>SUMIFS(Actuals!$AA:$AA,Actuals!$A:$A,$A137)</f>
        <v/>
      </c>
      <c r="N137" s="10">
        <f>SUM(B137:M137)</f>
        <v/>
      </c>
    </row>
    <row r="138">
      <c r="A138" s="5" t="inlineStr">
        <is>
          <t>Depreciation</t>
        </is>
      </c>
      <c r="B138" s="9">
        <f>SUMIFS(Actuals!$P:$P,Actuals!$A:$A,$A138)</f>
        <v/>
      </c>
      <c r="C138" s="9">
        <f>SUMIFS(Actuals!$Q:$Q,Actuals!$A:$A,$A138)</f>
        <v/>
      </c>
      <c r="D138" s="9">
        <f>SUMIFS(Actuals!$R:$R,Actuals!$A:$A,$A138)</f>
        <v/>
      </c>
      <c r="E138" s="9">
        <f>SUMIFS(Actuals!$S:$S,Actuals!$A:$A,$A138)</f>
        <v/>
      </c>
      <c r="F138" s="9">
        <f>SUMIFS(Actuals!$T:$T,Actuals!$A:$A,$A138)</f>
        <v/>
      </c>
      <c r="G138" s="9">
        <f>SUMIFS(Actuals!$U:$U,Actuals!$A:$A,$A138)</f>
        <v/>
      </c>
      <c r="H138" s="9">
        <f>SUMIFS(Actuals!$V:$V,Actuals!$A:$A,$A138)</f>
        <v/>
      </c>
      <c r="I138" s="9">
        <f>SUMIFS(Actuals!$W:$W,Actuals!$A:$A,$A138)</f>
        <v/>
      </c>
      <c r="J138" s="9">
        <f>SUMIFS(Actuals!$X:$X,Actuals!$A:$A,$A138)</f>
        <v/>
      </c>
      <c r="K138" s="9">
        <f>SUMIFS(Actuals!$Y:$Y,Actuals!$A:$A,$A138)</f>
        <v/>
      </c>
      <c r="L138" s="9">
        <f>SUMIFS(Actuals!$Z:$Z,Actuals!$A:$A,$A138)</f>
        <v/>
      </c>
      <c r="M138" s="9">
        <f>SUMIFS(Actuals!$AA:$AA,Actuals!$A:$A,$A138)</f>
        <v/>
      </c>
      <c r="N138" s="10">
        <f>SUM(B138:M138)</f>
        <v/>
      </c>
    </row>
    <row r="139">
      <c r="A139" s="5" t="inlineStr">
        <is>
          <t>Depreciation - ROU</t>
        </is>
      </c>
      <c r="B139" s="9">
        <f>SUMIFS(Actuals!$P:$P,Actuals!$A:$A,$A139)</f>
        <v/>
      </c>
      <c r="C139" s="9">
        <f>SUMIFS(Actuals!$Q:$Q,Actuals!$A:$A,$A139)</f>
        <v/>
      </c>
      <c r="D139" s="9">
        <f>SUMIFS(Actuals!$R:$R,Actuals!$A:$A,$A139)</f>
        <v/>
      </c>
      <c r="E139" s="9">
        <f>SUMIFS(Actuals!$S:$S,Actuals!$A:$A,$A139)</f>
        <v/>
      </c>
      <c r="F139" s="9">
        <f>SUMIFS(Actuals!$T:$T,Actuals!$A:$A,$A139)</f>
        <v/>
      </c>
      <c r="G139" s="9">
        <f>SUMIFS(Actuals!$U:$U,Actuals!$A:$A,$A139)</f>
        <v/>
      </c>
      <c r="H139" s="9">
        <f>SUMIFS(Actuals!$V:$V,Actuals!$A:$A,$A139)</f>
        <v/>
      </c>
      <c r="I139" s="9">
        <f>SUMIFS(Actuals!$W:$W,Actuals!$A:$A,$A139)</f>
        <v/>
      </c>
      <c r="J139" s="9">
        <f>SUMIFS(Actuals!$X:$X,Actuals!$A:$A,$A139)</f>
        <v/>
      </c>
      <c r="K139" s="9">
        <f>SUMIFS(Actuals!$Y:$Y,Actuals!$A:$A,$A139)</f>
        <v/>
      </c>
      <c r="L139" s="9">
        <f>SUMIFS(Actuals!$Z:$Z,Actuals!$A:$A,$A139)</f>
        <v/>
      </c>
      <c r="M139" s="9">
        <f>SUMIFS(Actuals!$AA:$AA,Actuals!$A:$A,$A139)</f>
        <v/>
      </c>
      <c r="N139" s="10">
        <f>SUM(B139:M139)</f>
        <v/>
      </c>
    </row>
    <row r="140">
      <c r="A140" s="5" t="inlineStr">
        <is>
          <t>Discounts Taken</t>
        </is>
      </c>
      <c r="B140" s="9">
        <f>SUMIFS(Actuals!$P:$P,Actuals!$A:$A,$A140)</f>
        <v/>
      </c>
      <c r="C140" s="9">
        <f>SUMIFS(Actuals!$Q:$Q,Actuals!$A:$A,$A140)</f>
        <v/>
      </c>
      <c r="D140" s="9">
        <f>SUMIFS(Actuals!$R:$R,Actuals!$A:$A,$A140)</f>
        <v/>
      </c>
      <c r="E140" s="9">
        <f>SUMIFS(Actuals!$S:$S,Actuals!$A:$A,$A140)</f>
        <v/>
      </c>
      <c r="F140" s="9">
        <f>SUMIFS(Actuals!$T:$T,Actuals!$A:$A,$A140)</f>
        <v/>
      </c>
      <c r="G140" s="9">
        <f>SUMIFS(Actuals!$U:$U,Actuals!$A:$A,$A140)</f>
        <v/>
      </c>
      <c r="H140" s="9">
        <f>SUMIFS(Actuals!$V:$V,Actuals!$A:$A,$A140)</f>
        <v/>
      </c>
      <c r="I140" s="9">
        <f>SUMIFS(Actuals!$W:$W,Actuals!$A:$A,$A140)</f>
        <v/>
      </c>
      <c r="J140" s="9">
        <f>SUMIFS(Actuals!$X:$X,Actuals!$A:$A,$A140)</f>
        <v/>
      </c>
      <c r="K140" s="9">
        <f>SUMIFS(Actuals!$Y:$Y,Actuals!$A:$A,$A140)</f>
        <v/>
      </c>
      <c r="L140" s="9">
        <f>SUMIFS(Actuals!$Z:$Z,Actuals!$A:$A,$A140)</f>
        <v/>
      </c>
      <c r="M140" s="9">
        <f>SUMIFS(Actuals!$AA:$AA,Actuals!$A:$A,$A140)</f>
        <v/>
      </c>
      <c r="N140" s="10">
        <f>SUM(B140:M140)</f>
        <v/>
      </c>
    </row>
    <row r="141">
      <c r="A141" s="5" t="inlineStr">
        <is>
          <t>Disposal of fixed assets</t>
        </is>
      </c>
      <c r="B141" s="9">
        <f>SUMIFS(Actuals!$P:$P,Actuals!$A:$A,$A141)</f>
        <v/>
      </c>
      <c r="C141" s="9">
        <f>SUMIFS(Actuals!$Q:$Q,Actuals!$A:$A,$A141)</f>
        <v/>
      </c>
      <c r="D141" s="9">
        <f>SUMIFS(Actuals!$R:$R,Actuals!$A:$A,$A141)</f>
        <v/>
      </c>
      <c r="E141" s="9">
        <f>SUMIFS(Actuals!$S:$S,Actuals!$A:$A,$A141)</f>
        <v/>
      </c>
      <c r="F141" s="9">
        <f>SUMIFS(Actuals!$T:$T,Actuals!$A:$A,$A141)</f>
        <v/>
      </c>
      <c r="G141" s="9">
        <f>SUMIFS(Actuals!$U:$U,Actuals!$A:$A,$A141)</f>
        <v/>
      </c>
      <c r="H141" s="9">
        <f>SUMIFS(Actuals!$V:$V,Actuals!$A:$A,$A141)</f>
        <v/>
      </c>
      <c r="I141" s="9">
        <f>SUMIFS(Actuals!$W:$W,Actuals!$A:$A,$A141)</f>
        <v/>
      </c>
      <c r="J141" s="9">
        <f>SUMIFS(Actuals!$X:$X,Actuals!$A:$A,$A141)</f>
        <v/>
      </c>
      <c r="K141" s="9">
        <f>SUMIFS(Actuals!$Y:$Y,Actuals!$A:$A,$A141)</f>
        <v/>
      </c>
      <c r="L141" s="9">
        <f>SUMIFS(Actuals!$Z:$Z,Actuals!$A:$A,$A141)</f>
        <v/>
      </c>
      <c r="M141" s="9">
        <f>SUMIFS(Actuals!$AA:$AA,Actuals!$A:$A,$A141)</f>
        <v/>
      </c>
      <c r="N141" s="10">
        <f>SUM(B141:M141)</f>
        <v/>
      </c>
    </row>
    <row r="142">
      <c r="A142" s="5" t="inlineStr">
        <is>
          <t>Dividend paid [93000]</t>
        </is>
      </c>
      <c r="B142" s="9">
        <f>SUMIFS(Actuals!$P:$P,Actuals!$A:$A,$A142)</f>
        <v/>
      </c>
      <c r="C142" s="9">
        <f>SUMIFS(Actuals!$Q:$Q,Actuals!$A:$A,$A142)</f>
        <v/>
      </c>
      <c r="D142" s="9">
        <f>SUMIFS(Actuals!$R:$R,Actuals!$A:$A,$A142)</f>
        <v/>
      </c>
      <c r="E142" s="9">
        <f>SUMIFS(Actuals!$S:$S,Actuals!$A:$A,$A142)</f>
        <v/>
      </c>
      <c r="F142" s="9">
        <f>SUMIFS(Actuals!$T:$T,Actuals!$A:$A,$A142)</f>
        <v/>
      </c>
      <c r="G142" s="9">
        <f>SUMIFS(Actuals!$U:$U,Actuals!$A:$A,$A142)</f>
        <v/>
      </c>
      <c r="H142" s="9">
        <f>SUMIFS(Actuals!$V:$V,Actuals!$A:$A,$A142)</f>
        <v/>
      </c>
      <c r="I142" s="9">
        <f>SUMIFS(Actuals!$W:$W,Actuals!$A:$A,$A142)</f>
        <v/>
      </c>
      <c r="J142" s="9">
        <f>SUMIFS(Actuals!$X:$X,Actuals!$A:$A,$A142)</f>
        <v/>
      </c>
      <c r="K142" s="9">
        <f>SUMIFS(Actuals!$Y:$Y,Actuals!$A:$A,$A142)</f>
        <v/>
      </c>
      <c r="L142" s="9">
        <f>SUMIFS(Actuals!$Z:$Z,Actuals!$A:$A,$A142)</f>
        <v/>
      </c>
      <c r="M142" s="9">
        <f>SUMIFS(Actuals!$AA:$AA,Actuals!$A:$A,$A142)</f>
        <v/>
      </c>
      <c r="N142" s="10">
        <f>SUM(B142:M142)</f>
        <v/>
      </c>
    </row>
    <row r="143">
      <c r="A143" s="5" t="inlineStr">
        <is>
          <t>Donations / Charity</t>
        </is>
      </c>
      <c r="B143" s="9">
        <f>SUMIFS(Actuals!$P:$P,Actuals!$A:$A,$A143)</f>
        <v/>
      </c>
      <c r="C143" s="9">
        <f>SUMIFS(Actuals!$Q:$Q,Actuals!$A:$A,$A143)</f>
        <v/>
      </c>
      <c r="D143" s="9">
        <f>SUMIFS(Actuals!$R:$R,Actuals!$A:$A,$A143)</f>
        <v/>
      </c>
      <c r="E143" s="9">
        <f>SUMIFS(Actuals!$S:$S,Actuals!$A:$A,$A143)</f>
        <v/>
      </c>
      <c r="F143" s="9">
        <f>SUMIFS(Actuals!$T:$T,Actuals!$A:$A,$A143)</f>
        <v/>
      </c>
      <c r="G143" s="9">
        <f>SUMIFS(Actuals!$U:$U,Actuals!$A:$A,$A143)</f>
        <v/>
      </c>
      <c r="H143" s="9">
        <f>SUMIFS(Actuals!$V:$V,Actuals!$A:$A,$A143)</f>
        <v/>
      </c>
      <c r="I143" s="9">
        <f>SUMIFS(Actuals!$W:$W,Actuals!$A:$A,$A143)</f>
        <v/>
      </c>
      <c r="J143" s="9">
        <f>SUMIFS(Actuals!$X:$X,Actuals!$A:$A,$A143)</f>
        <v/>
      </c>
      <c r="K143" s="9">
        <f>SUMIFS(Actuals!$Y:$Y,Actuals!$A:$A,$A143)</f>
        <v/>
      </c>
      <c r="L143" s="9">
        <f>SUMIFS(Actuals!$Z:$Z,Actuals!$A:$A,$A143)</f>
        <v/>
      </c>
      <c r="M143" s="9">
        <f>SUMIFS(Actuals!$AA:$AA,Actuals!$A:$A,$A143)</f>
        <v/>
      </c>
      <c r="N143" s="10">
        <f>SUM(B143:M143)</f>
        <v/>
      </c>
    </row>
    <row r="144">
      <c r="A144" s="5" t="inlineStr">
        <is>
          <t>Dues &amp; Subscriptions</t>
        </is>
      </c>
      <c r="B144" s="9">
        <f>SUMIFS(Actuals!$P:$P,Actuals!$A:$A,$A144)</f>
        <v/>
      </c>
      <c r="C144" s="9">
        <f>SUMIFS(Actuals!$Q:$Q,Actuals!$A:$A,$A144)</f>
        <v/>
      </c>
      <c r="D144" s="9">
        <f>SUMIFS(Actuals!$R:$R,Actuals!$A:$A,$A144)</f>
        <v/>
      </c>
      <c r="E144" s="9">
        <f>SUMIFS(Actuals!$S:$S,Actuals!$A:$A,$A144)</f>
        <v/>
      </c>
      <c r="F144" s="9">
        <f>SUMIFS(Actuals!$T:$T,Actuals!$A:$A,$A144)</f>
        <v/>
      </c>
      <c r="G144" s="9">
        <f>SUMIFS(Actuals!$U:$U,Actuals!$A:$A,$A144)</f>
        <v/>
      </c>
      <c r="H144" s="9">
        <f>SUMIFS(Actuals!$V:$V,Actuals!$A:$A,$A144)</f>
        <v/>
      </c>
      <c r="I144" s="9">
        <f>SUMIFS(Actuals!$W:$W,Actuals!$A:$A,$A144)</f>
        <v/>
      </c>
      <c r="J144" s="9">
        <f>SUMIFS(Actuals!$X:$X,Actuals!$A:$A,$A144)</f>
        <v/>
      </c>
      <c r="K144" s="9">
        <f>SUMIFS(Actuals!$Y:$Y,Actuals!$A:$A,$A144)</f>
        <v/>
      </c>
      <c r="L144" s="9">
        <f>SUMIFS(Actuals!$Z:$Z,Actuals!$A:$A,$A144)</f>
        <v/>
      </c>
      <c r="M144" s="9">
        <f>SUMIFS(Actuals!$AA:$AA,Actuals!$A:$A,$A144)</f>
        <v/>
      </c>
      <c r="N144" s="10">
        <f>SUM(B144:M144)</f>
        <v/>
      </c>
    </row>
    <row r="145">
      <c r="A145" s="5" t="inlineStr">
        <is>
          <t>Electricity</t>
        </is>
      </c>
      <c r="B145" s="9">
        <f>SUMIFS(Actuals!$P:$P,Actuals!$A:$A,$A145)</f>
        <v/>
      </c>
      <c r="C145" s="9">
        <f>SUMIFS(Actuals!$Q:$Q,Actuals!$A:$A,$A145)</f>
        <v/>
      </c>
      <c r="D145" s="9">
        <f>SUMIFS(Actuals!$R:$R,Actuals!$A:$A,$A145)</f>
        <v/>
      </c>
      <c r="E145" s="9">
        <f>SUMIFS(Actuals!$S:$S,Actuals!$A:$A,$A145)</f>
        <v/>
      </c>
      <c r="F145" s="9">
        <f>SUMIFS(Actuals!$T:$T,Actuals!$A:$A,$A145)</f>
        <v/>
      </c>
      <c r="G145" s="9">
        <f>SUMIFS(Actuals!$U:$U,Actuals!$A:$A,$A145)</f>
        <v/>
      </c>
      <c r="H145" s="9">
        <f>SUMIFS(Actuals!$V:$V,Actuals!$A:$A,$A145)</f>
        <v/>
      </c>
      <c r="I145" s="9">
        <f>SUMIFS(Actuals!$W:$W,Actuals!$A:$A,$A145)</f>
        <v/>
      </c>
      <c r="J145" s="9">
        <f>SUMIFS(Actuals!$X:$X,Actuals!$A:$A,$A145)</f>
        <v/>
      </c>
      <c r="K145" s="9">
        <f>SUMIFS(Actuals!$Y:$Y,Actuals!$A:$A,$A145)</f>
        <v/>
      </c>
      <c r="L145" s="9">
        <f>SUMIFS(Actuals!$Z:$Z,Actuals!$A:$A,$A145)</f>
        <v/>
      </c>
      <c r="M145" s="9">
        <f>SUMIFS(Actuals!$AA:$AA,Actuals!$A:$A,$A145)</f>
        <v/>
      </c>
      <c r="N145" s="10">
        <f>SUM(B145:M145)</f>
        <v/>
      </c>
    </row>
    <row r="146">
      <c r="A146" s="5" t="inlineStr">
        <is>
          <t>Fax</t>
        </is>
      </c>
      <c r="B146" s="9">
        <f>SUMIFS(Actuals!$P:$P,Actuals!$A:$A,$A146)</f>
        <v/>
      </c>
      <c r="C146" s="9">
        <f>SUMIFS(Actuals!$Q:$Q,Actuals!$A:$A,$A146)</f>
        <v/>
      </c>
      <c r="D146" s="9">
        <f>SUMIFS(Actuals!$R:$R,Actuals!$A:$A,$A146)</f>
        <v/>
      </c>
      <c r="E146" s="9">
        <f>SUMIFS(Actuals!$S:$S,Actuals!$A:$A,$A146)</f>
        <v/>
      </c>
      <c r="F146" s="9">
        <f>SUMIFS(Actuals!$T:$T,Actuals!$A:$A,$A146)</f>
        <v/>
      </c>
      <c r="G146" s="9">
        <f>SUMIFS(Actuals!$U:$U,Actuals!$A:$A,$A146)</f>
        <v/>
      </c>
      <c r="H146" s="9">
        <f>SUMIFS(Actuals!$V:$V,Actuals!$A:$A,$A146)</f>
        <v/>
      </c>
      <c r="I146" s="9">
        <f>SUMIFS(Actuals!$W:$W,Actuals!$A:$A,$A146)</f>
        <v/>
      </c>
      <c r="J146" s="9">
        <f>SUMIFS(Actuals!$X:$X,Actuals!$A:$A,$A146)</f>
        <v/>
      </c>
      <c r="K146" s="9">
        <f>SUMIFS(Actuals!$Y:$Y,Actuals!$A:$A,$A146)</f>
        <v/>
      </c>
      <c r="L146" s="9">
        <f>SUMIFS(Actuals!$Z:$Z,Actuals!$A:$A,$A146)</f>
        <v/>
      </c>
      <c r="M146" s="9">
        <f>SUMIFS(Actuals!$AA:$AA,Actuals!$A:$A,$A146)</f>
        <v/>
      </c>
      <c r="N146" s="10">
        <f>SUM(B146:M146)</f>
        <v/>
      </c>
    </row>
    <row r="147">
      <c r="A147" s="5" t="inlineStr">
        <is>
          <t>Filing Fee</t>
        </is>
      </c>
      <c r="B147" s="9">
        <f>SUMIFS(Actuals!$P:$P,Actuals!$A:$A,$A147)</f>
        <v/>
      </c>
      <c r="C147" s="9">
        <f>SUMIFS(Actuals!$Q:$Q,Actuals!$A:$A,$A147)</f>
        <v/>
      </c>
      <c r="D147" s="9">
        <f>SUMIFS(Actuals!$R:$R,Actuals!$A:$A,$A147)</f>
        <v/>
      </c>
      <c r="E147" s="9">
        <f>SUMIFS(Actuals!$S:$S,Actuals!$A:$A,$A147)</f>
        <v/>
      </c>
      <c r="F147" s="9">
        <f>SUMIFS(Actuals!$T:$T,Actuals!$A:$A,$A147)</f>
        <v/>
      </c>
      <c r="G147" s="9">
        <f>SUMIFS(Actuals!$U:$U,Actuals!$A:$A,$A147)</f>
        <v/>
      </c>
      <c r="H147" s="9">
        <f>SUMIFS(Actuals!$V:$V,Actuals!$A:$A,$A147)</f>
        <v/>
      </c>
      <c r="I147" s="9">
        <f>SUMIFS(Actuals!$W:$W,Actuals!$A:$A,$A147)</f>
        <v/>
      </c>
      <c r="J147" s="9">
        <f>SUMIFS(Actuals!$X:$X,Actuals!$A:$A,$A147)</f>
        <v/>
      </c>
      <c r="K147" s="9">
        <f>SUMIFS(Actuals!$Y:$Y,Actuals!$A:$A,$A147)</f>
        <v/>
      </c>
      <c r="L147" s="9">
        <f>SUMIFS(Actuals!$Z:$Z,Actuals!$A:$A,$A147)</f>
        <v/>
      </c>
      <c r="M147" s="9">
        <f>SUMIFS(Actuals!$AA:$AA,Actuals!$A:$A,$A147)</f>
        <v/>
      </c>
      <c r="N147" s="10">
        <f>SUM(B147:M147)</f>
        <v/>
      </c>
    </row>
    <row r="148">
      <c r="A148" s="5" t="inlineStr">
        <is>
          <t>Foreign Currency Translation*</t>
        </is>
      </c>
      <c r="B148" s="9">
        <f>SUMIFS(Actuals!$P:$P,Actuals!$A:$A,$A148)</f>
        <v/>
      </c>
      <c r="C148" s="9">
        <f>SUMIFS(Actuals!$Q:$Q,Actuals!$A:$A,$A148)</f>
        <v/>
      </c>
      <c r="D148" s="9">
        <f>SUMIFS(Actuals!$R:$R,Actuals!$A:$A,$A148)</f>
        <v/>
      </c>
      <c r="E148" s="9">
        <f>SUMIFS(Actuals!$S:$S,Actuals!$A:$A,$A148)</f>
        <v/>
      </c>
      <c r="F148" s="9">
        <f>SUMIFS(Actuals!$T:$T,Actuals!$A:$A,$A148)</f>
        <v/>
      </c>
      <c r="G148" s="9">
        <f>SUMIFS(Actuals!$U:$U,Actuals!$A:$A,$A148)</f>
        <v/>
      </c>
      <c r="H148" s="9">
        <f>SUMIFS(Actuals!$V:$V,Actuals!$A:$A,$A148)</f>
        <v/>
      </c>
      <c r="I148" s="9">
        <f>SUMIFS(Actuals!$W:$W,Actuals!$A:$A,$A148)</f>
        <v/>
      </c>
      <c r="J148" s="9">
        <f>SUMIFS(Actuals!$X:$X,Actuals!$A:$A,$A148)</f>
        <v/>
      </c>
      <c r="K148" s="9">
        <f>SUMIFS(Actuals!$Y:$Y,Actuals!$A:$A,$A148)</f>
        <v/>
      </c>
      <c r="L148" s="9">
        <f>SUMIFS(Actuals!$Z:$Z,Actuals!$A:$A,$A148)</f>
        <v/>
      </c>
      <c r="M148" s="9">
        <f>SUMIFS(Actuals!$AA:$AA,Actuals!$A:$A,$A148)</f>
        <v/>
      </c>
      <c r="N148" s="10">
        <f>SUM(B148:M148)</f>
        <v/>
      </c>
    </row>
    <row r="149">
      <c r="A149" s="5" t="inlineStr">
        <is>
          <t>Freight Paid</t>
        </is>
      </c>
      <c r="B149" s="9">
        <f>SUMIFS(Actuals!$P:$P,Actuals!$A:$A,$A149)</f>
        <v/>
      </c>
      <c r="C149" s="9">
        <f>SUMIFS(Actuals!$Q:$Q,Actuals!$A:$A,$A149)</f>
        <v/>
      </c>
      <c r="D149" s="9">
        <f>SUMIFS(Actuals!$R:$R,Actuals!$A:$A,$A149)</f>
        <v/>
      </c>
      <c r="E149" s="9">
        <f>SUMIFS(Actuals!$S:$S,Actuals!$A:$A,$A149)</f>
        <v/>
      </c>
      <c r="F149" s="9">
        <f>SUMIFS(Actuals!$T:$T,Actuals!$A:$A,$A149)</f>
        <v/>
      </c>
      <c r="G149" s="9">
        <f>SUMIFS(Actuals!$U:$U,Actuals!$A:$A,$A149)</f>
        <v/>
      </c>
      <c r="H149" s="9">
        <f>SUMIFS(Actuals!$V:$V,Actuals!$A:$A,$A149)</f>
        <v/>
      </c>
      <c r="I149" s="9">
        <f>SUMIFS(Actuals!$W:$W,Actuals!$A:$A,$A149)</f>
        <v/>
      </c>
      <c r="J149" s="9">
        <f>SUMIFS(Actuals!$X:$X,Actuals!$A:$A,$A149)</f>
        <v/>
      </c>
      <c r="K149" s="9">
        <f>SUMIFS(Actuals!$Y:$Y,Actuals!$A:$A,$A149)</f>
        <v/>
      </c>
      <c r="L149" s="9">
        <f>SUMIFS(Actuals!$Z:$Z,Actuals!$A:$A,$A149)</f>
        <v/>
      </c>
      <c r="M149" s="9">
        <f>SUMIFS(Actuals!$AA:$AA,Actuals!$A:$A,$A149)</f>
        <v/>
      </c>
      <c r="N149" s="10">
        <f>SUM(B149:M149)</f>
        <v/>
      </c>
    </row>
    <row r="150">
      <c r="A150" s="5" t="inlineStr">
        <is>
          <t>Fringe Benefits Tax</t>
        </is>
      </c>
      <c r="B150" s="9">
        <f>SUMIFS(Actuals!$P:$P,Actuals!$A:$A,$A150)</f>
        <v/>
      </c>
      <c r="C150" s="9">
        <f>SUMIFS(Actuals!$Q:$Q,Actuals!$A:$A,$A150)</f>
        <v/>
      </c>
      <c r="D150" s="9">
        <f>SUMIFS(Actuals!$R:$R,Actuals!$A:$A,$A150)</f>
        <v/>
      </c>
      <c r="E150" s="9">
        <f>SUMIFS(Actuals!$S:$S,Actuals!$A:$A,$A150)</f>
        <v/>
      </c>
      <c r="F150" s="9">
        <f>SUMIFS(Actuals!$T:$T,Actuals!$A:$A,$A150)</f>
        <v/>
      </c>
      <c r="G150" s="9">
        <f>SUMIFS(Actuals!$U:$U,Actuals!$A:$A,$A150)</f>
        <v/>
      </c>
      <c r="H150" s="9">
        <f>SUMIFS(Actuals!$V:$V,Actuals!$A:$A,$A150)</f>
        <v/>
      </c>
      <c r="I150" s="9">
        <f>SUMIFS(Actuals!$W:$W,Actuals!$A:$A,$A150)</f>
        <v/>
      </c>
      <c r="J150" s="9">
        <f>SUMIFS(Actuals!$X:$X,Actuals!$A:$A,$A150)</f>
        <v/>
      </c>
      <c r="K150" s="9">
        <f>SUMIFS(Actuals!$Y:$Y,Actuals!$A:$A,$A150)</f>
        <v/>
      </c>
      <c r="L150" s="9">
        <f>SUMIFS(Actuals!$Z:$Z,Actuals!$A:$A,$A150)</f>
        <v/>
      </c>
      <c r="M150" s="9">
        <f>SUMIFS(Actuals!$AA:$AA,Actuals!$A:$A,$A150)</f>
        <v/>
      </c>
      <c r="N150" s="10">
        <f>SUM(B150:M150)</f>
        <v/>
      </c>
    </row>
    <row r="151">
      <c r="A151" s="5" t="inlineStr">
        <is>
          <t>IT Network Service &amp; Support</t>
        </is>
      </c>
      <c r="B151" s="9">
        <f>SUMIFS(Actuals!$P:$P,Actuals!$A:$A,$A151)</f>
        <v/>
      </c>
      <c r="C151" s="9">
        <f>SUMIFS(Actuals!$Q:$Q,Actuals!$A:$A,$A151)</f>
        <v/>
      </c>
      <c r="D151" s="9">
        <f>SUMIFS(Actuals!$R:$R,Actuals!$A:$A,$A151)</f>
        <v/>
      </c>
      <c r="E151" s="9">
        <f>SUMIFS(Actuals!$S:$S,Actuals!$A:$A,$A151)</f>
        <v/>
      </c>
      <c r="F151" s="9">
        <f>SUMIFS(Actuals!$T:$T,Actuals!$A:$A,$A151)</f>
        <v/>
      </c>
      <c r="G151" s="9">
        <f>SUMIFS(Actuals!$U:$U,Actuals!$A:$A,$A151)</f>
        <v/>
      </c>
      <c r="H151" s="9">
        <f>SUMIFS(Actuals!$V:$V,Actuals!$A:$A,$A151)</f>
        <v/>
      </c>
      <c r="I151" s="9">
        <f>SUMIFS(Actuals!$W:$W,Actuals!$A:$A,$A151)</f>
        <v/>
      </c>
      <c r="J151" s="9">
        <f>SUMIFS(Actuals!$X:$X,Actuals!$A:$A,$A151)</f>
        <v/>
      </c>
      <c r="K151" s="9">
        <f>SUMIFS(Actuals!$Y:$Y,Actuals!$A:$A,$A151)</f>
        <v/>
      </c>
      <c r="L151" s="9">
        <f>SUMIFS(Actuals!$Z:$Z,Actuals!$A:$A,$A151)</f>
        <v/>
      </c>
      <c r="M151" s="9">
        <f>SUMIFS(Actuals!$AA:$AA,Actuals!$A:$A,$A151)</f>
        <v/>
      </c>
      <c r="N151" s="10">
        <f>SUM(B151:M151)</f>
        <v/>
      </c>
    </row>
    <row r="152">
      <c r="A152" s="5" t="inlineStr">
        <is>
          <t>Income Tax Expense</t>
        </is>
      </c>
      <c r="B152" s="9">
        <f>SUMIFS(Actuals!$P:$P,Actuals!$A:$A,$A152)</f>
        <v/>
      </c>
      <c r="C152" s="9">
        <f>SUMIFS(Actuals!$Q:$Q,Actuals!$A:$A,$A152)</f>
        <v/>
      </c>
      <c r="D152" s="9">
        <f>SUMIFS(Actuals!$R:$R,Actuals!$A:$A,$A152)</f>
        <v/>
      </c>
      <c r="E152" s="9">
        <f>SUMIFS(Actuals!$S:$S,Actuals!$A:$A,$A152)</f>
        <v/>
      </c>
      <c r="F152" s="9">
        <f>SUMIFS(Actuals!$T:$T,Actuals!$A:$A,$A152)</f>
        <v/>
      </c>
      <c r="G152" s="9">
        <f>SUMIFS(Actuals!$U:$U,Actuals!$A:$A,$A152)</f>
        <v/>
      </c>
      <c r="H152" s="9">
        <f>SUMIFS(Actuals!$V:$V,Actuals!$A:$A,$A152)</f>
        <v/>
      </c>
      <c r="I152" s="9">
        <f>SUMIFS(Actuals!$W:$W,Actuals!$A:$A,$A152)</f>
        <v/>
      </c>
      <c r="J152" s="9">
        <f>SUMIFS(Actuals!$X:$X,Actuals!$A:$A,$A152)</f>
        <v/>
      </c>
      <c r="K152" s="9">
        <f>SUMIFS(Actuals!$Y:$Y,Actuals!$A:$A,$A152)</f>
        <v/>
      </c>
      <c r="L152" s="9">
        <f>SUMIFS(Actuals!$Z:$Z,Actuals!$A:$A,$A152)</f>
        <v/>
      </c>
      <c r="M152" s="9">
        <f>SUMIFS(Actuals!$AA:$AA,Actuals!$A:$A,$A152)</f>
        <v/>
      </c>
      <c r="N152" s="10">
        <f>SUM(B152:M152)</f>
        <v/>
      </c>
    </row>
    <row r="153">
      <c r="A153" s="5" t="inlineStr">
        <is>
          <t>Indirect Salaries - ADMIN</t>
        </is>
      </c>
      <c r="B153" s="9">
        <f>SUMIFS(Actuals!$P:$P,Actuals!$A:$A,$A153)</f>
        <v/>
      </c>
      <c r="C153" s="9">
        <f>SUMIFS(Actuals!$Q:$Q,Actuals!$A:$A,$A153)</f>
        <v/>
      </c>
      <c r="D153" s="9">
        <f>SUMIFS(Actuals!$R:$R,Actuals!$A:$A,$A153)</f>
        <v/>
      </c>
      <c r="E153" s="9">
        <f>SUMIFS(Actuals!$S:$S,Actuals!$A:$A,$A153)</f>
        <v/>
      </c>
      <c r="F153" s="9">
        <f>SUMIFS(Actuals!$T:$T,Actuals!$A:$A,$A153)</f>
        <v/>
      </c>
      <c r="G153" s="9">
        <f>SUMIFS(Actuals!$U:$U,Actuals!$A:$A,$A153)</f>
        <v/>
      </c>
      <c r="H153" s="9">
        <f>SUMIFS(Actuals!$V:$V,Actuals!$A:$A,$A153)</f>
        <v/>
      </c>
      <c r="I153" s="9">
        <f>SUMIFS(Actuals!$W:$W,Actuals!$A:$A,$A153)</f>
        <v/>
      </c>
      <c r="J153" s="9">
        <f>SUMIFS(Actuals!$X:$X,Actuals!$A:$A,$A153)</f>
        <v/>
      </c>
      <c r="K153" s="9">
        <f>SUMIFS(Actuals!$Y:$Y,Actuals!$A:$A,$A153)</f>
        <v/>
      </c>
      <c r="L153" s="9">
        <f>SUMIFS(Actuals!$Z:$Z,Actuals!$A:$A,$A153)</f>
        <v/>
      </c>
      <c r="M153" s="9">
        <f>SUMIFS(Actuals!$AA:$AA,Actuals!$A:$A,$A153)</f>
        <v/>
      </c>
      <c r="N153" s="10">
        <f>SUM(B153:M153)</f>
        <v/>
      </c>
    </row>
    <row r="154">
      <c r="A154" s="5" t="inlineStr">
        <is>
          <t>Indirect Salaries - CONS</t>
        </is>
      </c>
      <c r="B154" s="9">
        <f>SUMIFS(Actuals!$P:$P,Actuals!$A:$A,$A154)</f>
        <v/>
      </c>
      <c r="C154" s="9">
        <f>SUMIFS(Actuals!$Q:$Q,Actuals!$A:$A,$A154)</f>
        <v/>
      </c>
      <c r="D154" s="9">
        <f>SUMIFS(Actuals!$R:$R,Actuals!$A:$A,$A154)</f>
        <v/>
      </c>
      <c r="E154" s="9">
        <f>SUMIFS(Actuals!$S:$S,Actuals!$A:$A,$A154)</f>
        <v/>
      </c>
      <c r="F154" s="9">
        <f>SUMIFS(Actuals!$T:$T,Actuals!$A:$A,$A154)</f>
        <v/>
      </c>
      <c r="G154" s="9">
        <f>SUMIFS(Actuals!$U:$U,Actuals!$A:$A,$A154)</f>
        <v/>
      </c>
      <c r="H154" s="9">
        <f>SUMIFS(Actuals!$V:$V,Actuals!$A:$A,$A154)</f>
        <v/>
      </c>
      <c r="I154" s="9">
        <f>SUMIFS(Actuals!$W:$W,Actuals!$A:$A,$A154)</f>
        <v/>
      </c>
      <c r="J154" s="9">
        <f>SUMIFS(Actuals!$X:$X,Actuals!$A:$A,$A154)</f>
        <v/>
      </c>
      <c r="K154" s="9">
        <f>SUMIFS(Actuals!$Y:$Y,Actuals!$A:$A,$A154)</f>
        <v/>
      </c>
      <c r="L154" s="9">
        <f>SUMIFS(Actuals!$Z:$Z,Actuals!$A:$A,$A154)</f>
        <v/>
      </c>
      <c r="M154" s="9">
        <f>SUMIFS(Actuals!$AA:$AA,Actuals!$A:$A,$A154)</f>
        <v/>
      </c>
      <c r="N154" s="10">
        <f>SUM(B154:M154)</f>
        <v/>
      </c>
    </row>
    <row r="155">
      <c r="A155" s="5" t="inlineStr">
        <is>
          <t>Indirect Salaries - INTEGRATION</t>
        </is>
      </c>
      <c r="B155" s="9">
        <f>SUMIFS(Actuals!$P:$P,Actuals!$A:$A,$A155)</f>
        <v/>
      </c>
      <c r="C155" s="9">
        <f>SUMIFS(Actuals!$Q:$Q,Actuals!$A:$A,$A155)</f>
        <v/>
      </c>
      <c r="D155" s="9">
        <f>SUMIFS(Actuals!$R:$R,Actuals!$A:$A,$A155)</f>
        <v/>
      </c>
      <c r="E155" s="9">
        <f>SUMIFS(Actuals!$S:$S,Actuals!$A:$A,$A155)</f>
        <v/>
      </c>
      <c r="F155" s="9">
        <f>SUMIFS(Actuals!$T:$T,Actuals!$A:$A,$A155)</f>
        <v/>
      </c>
      <c r="G155" s="9">
        <f>SUMIFS(Actuals!$U:$U,Actuals!$A:$A,$A155)</f>
        <v/>
      </c>
      <c r="H155" s="9">
        <f>SUMIFS(Actuals!$V:$V,Actuals!$A:$A,$A155)</f>
        <v/>
      </c>
      <c r="I155" s="9">
        <f>SUMIFS(Actuals!$W:$W,Actuals!$A:$A,$A155)</f>
        <v/>
      </c>
      <c r="J155" s="9">
        <f>SUMIFS(Actuals!$X:$X,Actuals!$A:$A,$A155)</f>
        <v/>
      </c>
      <c r="K155" s="9">
        <f>SUMIFS(Actuals!$Y:$Y,Actuals!$A:$A,$A155)</f>
        <v/>
      </c>
      <c r="L155" s="9">
        <f>SUMIFS(Actuals!$Z:$Z,Actuals!$A:$A,$A155)</f>
        <v/>
      </c>
      <c r="M155" s="9">
        <f>SUMIFS(Actuals!$AA:$AA,Actuals!$A:$A,$A155)</f>
        <v/>
      </c>
      <c r="N155" s="10">
        <f>SUM(B155:M155)</f>
        <v/>
      </c>
    </row>
    <row r="156">
      <c r="A156" s="5" t="inlineStr">
        <is>
          <t>Indirect Salaries - ONS</t>
        </is>
      </c>
      <c r="B156" s="9">
        <f>SUMIFS(Actuals!$P:$P,Actuals!$A:$A,$A156)</f>
        <v/>
      </c>
      <c r="C156" s="9">
        <f>SUMIFS(Actuals!$Q:$Q,Actuals!$A:$A,$A156)</f>
        <v/>
      </c>
      <c r="D156" s="9">
        <f>SUMIFS(Actuals!$R:$R,Actuals!$A:$A,$A156)</f>
        <v/>
      </c>
      <c r="E156" s="9">
        <f>SUMIFS(Actuals!$S:$S,Actuals!$A:$A,$A156)</f>
        <v/>
      </c>
      <c r="F156" s="9">
        <f>SUMIFS(Actuals!$T:$T,Actuals!$A:$A,$A156)</f>
        <v/>
      </c>
      <c r="G156" s="9">
        <f>SUMIFS(Actuals!$U:$U,Actuals!$A:$A,$A156)</f>
        <v/>
      </c>
      <c r="H156" s="9">
        <f>SUMIFS(Actuals!$V:$V,Actuals!$A:$A,$A156)</f>
        <v/>
      </c>
      <c r="I156" s="9">
        <f>SUMIFS(Actuals!$W:$W,Actuals!$A:$A,$A156)</f>
        <v/>
      </c>
      <c r="J156" s="9">
        <f>SUMIFS(Actuals!$X:$X,Actuals!$A:$A,$A156)</f>
        <v/>
      </c>
      <c r="K156" s="9">
        <f>SUMIFS(Actuals!$Y:$Y,Actuals!$A:$A,$A156)</f>
        <v/>
      </c>
      <c r="L156" s="9">
        <f>SUMIFS(Actuals!$Z:$Z,Actuals!$A:$A,$A156)</f>
        <v/>
      </c>
      <c r="M156" s="9">
        <f>SUMIFS(Actuals!$AA:$AA,Actuals!$A:$A,$A156)</f>
        <v/>
      </c>
      <c r="N156" s="10">
        <f>SUM(B156:M156)</f>
        <v/>
      </c>
    </row>
    <row r="157">
      <c r="A157" s="5" t="inlineStr">
        <is>
          <t>Indirect Salaries - PRD</t>
        </is>
      </c>
      <c r="B157" s="9">
        <f>SUMIFS(Actuals!$P:$P,Actuals!$A:$A,$A157)</f>
        <v/>
      </c>
      <c r="C157" s="9">
        <f>SUMIFS(Actuals!$Q:$Q,Actuals!$A:$A,$A157)</f>
        <v/>
      </c>
      <c r="D157" s="9">
        <f>SUMIFS(Actuals!$R:$R,Actuals!$A:$A,$A157)</f>
        <v/>
      </c>
      <c r="E157" s="9">
        <f>SUMIFS(Actuals!$S:$S,Actuals!$A:$A,$A157)</f>
        <v/>
      </c>
      <c r="F157" s="9">
        <f>SUMIFS(Actuals!$T:$T,Actuals!$A:$A,$A157)</f>
        <v/>
      </c>
      <c r="G157" s="9">
        <f>SUMIFS(Actuals!$U:$U,Actuals!$A:$A,$A157)</f>
        <v/>
      </c>
      <c r="H157" s="9">
        <f>SUMIFS(Actuals!$V:$V,Actuals!$A:$A,$A157)</f>
        <v/>
      </c>
      <c r="I157" s="9">
        <f>SUMIFS(Actuals!$W:$W,Actuals!$A:$A,$A157)</f>
        <v/>
      </c>
      <c r="J157" s="9">
        <f>SUMIFS(Actuals!$X:$X,Actuals!$A:$A,$A157)</f>
        <v/>
      </c>
      <c r="K157" s="9">
        <f>SUMIFS(Actuals!$Y:$Y,Actuals!$A:$A,$A157)</f>
        <v/>
      </c>
      <c r="L157" s="9">
        <f>SUMIFS(Actuals!$Z:$Z,Actuals!$A:$A,$A157)</f>
        <v/>
      </c>
      <c r="M157" s="9">
        <f>SUMIFS(Actuals!$AA:$AA,Actuals!$A:$A,$A157)</f>
        <v/>
      </c>
      <c r="N157" s="10">
        <f>SUM(B157:M157)</f>
        <v/>
      </c>
    </row>
    <row r="158">
      <c r="A158" s="5" t="inlineStr">
        <is>
          <t>Indirect Salaries - VID</t>
        </is>
      </c>
      <c r="B158" s="9">
        <f>SUMIFS(Actuals!$P:$P,Actuals!$A:$A,$A158)</f>
        <v/>
      </c>
      <c r="C158" s="9">
        <f>SUMIFS(Actuals!$Q:$Q,Actuals!$A:$A,$A158)</f>
        <v/>
      </c>
      <c r="D158" s="9">
        <f>SUMIFS(Actuals!$R:$R,Actuals!$A:$A,$A158)</f>
        <v/>
      </c>
      <c r="E158" s="9">
        <f>SUMIFS(Actuals!$S:$S,Actuals!$A:$A,$A158)</f>
        <v/>
      </c>
      <c r="F158" s="9">
        <f>SUMIFS(Actuals!$T:$T,Actuals!$A:$A,$A158)</f>
        <v/>
      </c>
      <c r="G158" s="9">
        <f>SUMIFS(Actuals!$U:$U,Actuals!$A:$A,$A158)</f>
        <v/>
      </c>
      <c r="H158" s="9">
        <f>SUMIFS(Actuals!$V:$V,Actuals!$A:$A,$A158)</f>
        <v/>
      </c>
      <c r="I158" s="9">
        <f>SUMIFS(Actuals!$W:$W,Actuals!$A:$A,$A158)</f>
        <v/>
      </c>
      <c r="J158" s="9">
        <f>SUMIFS(Actuals!$X:$X,Actuals!$A:$A,$A158)</f>
        <v/>
      </c>
      <c r="K158" s="9">
        <f>SUMIFS(Actuals!$Y:$Y,Actuals!$A:$A,$A158)</f>
        <v/>
      </c>
      <c r="L158" s="9">
        <f>SUMIFS(Actuals!$Z:$Z,Actuals!$A:$A,$A158)</f>
        <v/>
      </c>
      <c r="M158" s="9">
        <f>SUMIFS(Actuals!$AA:$AA,Actuals!$A:$A,$A158)</f>
        <v/>
      </c>
      <c r="N158" s="10">
        <f>SUM(B158:M158)</f>
        <v/>
      </c>
    </row>
    <row r="159">
      <c r="A159" s="5" t="inlineStr">
        <is>
          <t>Indirect Wages - ADMIN</t>
        </is>
      </c>
      <c r="B159" s="9">
        <f>SUMIFS(Actuals!$P:$P,Actuals!$A:$A,$A159)</f>
        <v/>
      </c>
      <c r="C159" s="9">
        <f>SUMIFS(Actuals!$Q:$Q,Actuals!$A:$A,$A159)</f>
        <v/>
      </c>
      <c r="D159" s="9">
        <f>SUMIFS(Actuals!$R:$R,Actuals!$A:$A,$A159)</f>
        <v/>
      </c>
      <c r="E159" s="9">
        <f>SUMIFS(Actuals!$S:$S,Actuals!$A:$A,$A159)</f>
        <v/>
      </c>
      <c r="F159" s="9">
        <f>SUMIFS(Actuals!$T:$T,Actuals!$A:$A,$A159)</f>
        <v/>
      </c>
      <c r="G159" s="9">
        <f>SUMIFS(Actuals!$U:$U,Actuals!$A:$A,$A159)</f>
        <v/>
      </c>
      <c r="H159" s="9">
        <f>SUMIFS(Actuals!$V:$V,Actuals!$A:$A,$A159)</f>
        <v/>
      </c>
      <c r="I159" s="9">
        <f>SUMIFS(Actuals!$W:$W,Actuals!$A:$A,$A159)</f>
        <v/>
      </c>
      <c r="J159" s="9">
        <f>SUMIFS(Actuals!$X:$X,Actuals!$A:$A,$A159)</f>
        <v/>
      </c>
      <c r="K159" s="9">
        <f>SUMIFS(Actuals!$Y:$Y,Actuals!$A:$A,$A159)</f>
        <v/>
      </c>
      <c r="L159" s="9">
        <f>SUMIFS(Actuals!$Z:$Z,Actuals!$A:$A,$A159)</f>
        <v/>
      </c>
      <c r="M159" s="9">
        <f>SUMIFS(Actuals!$AA:$AA,Actuals!$A:$A,$A159)</f>
        <v/>
      </c>
      <c r="N159" s="10">
        <f>SUM(B159:M159)</f>
        <v/>
      </c>
    </row>
    <row r="160">
      <c r="A160" s="5" t="inlineStr">
        <is>
          <t>Indirect Wages - CONS</t>
        </is>
      </c>
      <c r="B160" s="9">
        <f>SUMIFS(Actuals!$P:$P,Actuals!$A:$A,$A160)</f>
        <v/>
      </c>
      <c r="C160" s="9">
        <f>SUMIFS(Actuals!$Q:$Q,Actuals!$A:$A,$A160)</f>
        <v/>
      </c>
      <c r="D160" s="9">
        <f>SUMIFS(Actuals!$R:$R,Actuals!$A:$A,$A160)</f>
        <v/>
      </c>
      <c r="E160" s="9">
        <f>SUMIFS(Actuals!$S:$S,Actuals!$A:$A,$A160)</f>
        <v/>
      </c>
      <c r="F160" s="9">
        <f>SUMIFS(Actuals!$T:$T,Actuals!$A:$A,$A160)</f>
        <v/>
      </c>
      <c r="G160" s="9">
        <f>SUMIFS(Actuals!$U:$U,Actuals!$A:$A,$A160)</f>
        <v/>
      </c>
      <c r="H160" s="9">
        <f>SUMIFS(Actuals!$V:$V,Actuals!$A:$A,$A160)</f>
        <v/>
      </c>
      <c r="I160" s="9">
        <f>SUMIFS(Actuals!$W:$W,Actuals!$A:$A,$A160)</f>
        <v/>
      </c>
      <c r="J160" s="9">
        <f>SUMIFS(Actuals!$X:$X,Actuals!$A:$A,$A160)</f>
        <v/>
      </c>
      <c r="K160" s="9">
        <f>SUMIFS(Actuals!$Y:$Y,Actuals!$A:$A,$A160)</f>
        <v/>
      </c>
      <c r="L160" s="9">
        <f>SUMIFS(Actuals!$Z:$Z,Actuals!$A:$A,$A160)</f>
        <v/>
      </c>
      <c r="M160" s="9">
        <f>SUMIFS(Actuals!$AA:$AA,Actuals!$A:$A,$A160)</f>
        <v/>
      </c>
      <c r="N160" s="10">
        <f>SUM(B160:M160)</f>
        <v/>
      </c>
    </row>
    <row r="161">
      <c r="A161" s="5" t="inlineStr">
        <is>
          <t>Indirect Wages - INTEGRATION</t>
        </is>
      </c>
      <c r="B161" s="9">
        <f>SUMIFS(Actuals!$P:$P,Actuals!$A:$A,$A161)</f>
        <v/>
      </c>
      <c r="C161" s="9">
        <f>SUMIFS(Actuals!$Q:$Q,Actuals!$A:$A,$A161)</f>
        <v/>
      </c>
      <c r="D161" s="9">
        <f>SUMIFS(Actuals!$R:$R,Actuals!$A:$A,$A161)</f>
        <v/>
      </c>
      <c r="E161" s="9">
        <f>SUMIFS(Actuals!$S:$S,Actuals!$A:$A,$A161)</f>
        <v/>
      </c>
      <c r="F161" s="9">
        <f>SUMIFS(Actuals!$T:$T,Actuals!$A:$A,$A161)</f>
        <v/>
      </c>
      <c r="G161" s="9">
        <f>SUMIFS(Actuals!$U:$U,Actuals!$A:$A,$A161)</f>
        <v/>
      </c>
      <c r="H161" s="9">
        <f>SUMIFS(Actuals!$V:$V,Actuals!$A:$A,$A161)</f>
        <v/>
      </c>
      <c r="I161" s="9">
        <f>SUMIFS(Actuals!$W:$W,Actuals!$A:$A,$A161)</f>
        <v/>
      </c>
      <c r="J161" s="9">
        <f>SUMIFS(Actuals!$X:$X,Actuals!$A:$A,$A161)</f>
        <v/>
      </c>
      <c r="K161" s="9">
        <f>SUMIFS(Actuals!$Y:$Y,Actuals!$A:$A,$A161)</f>
        <v/>
      </c>
      <c r="L161" s="9">
        <f>SUMIFS(Actuals!$Z:$Z,Actuals!$A:$A,$A161)</f>
        <v/>
      </c>
      <c r="M161" s="9">
        <f>SUMIFS(Actuals!$AA:$AA,Actuals!$A:$A,$A161)</f>
        <v/>
      </c>
      <c r="N161" s="10">
        <f>SUM(B161:M161)</f>
        <v/>
      </c>
    </row>
    <row r="162">
      <c r="A162" s="5" t="inlineStr">
        <is>
          <t>Indirect Wages - ONS</t>
        </is>
      </c>
      <c r="B162" s="9">
        <f>SUMIFS(Actuals!$P:$P,Actuals!$A:$A,$A162)</f>
        <v/>
      </c>
      <c r="C162" s="9">
        <f>SUMIFS(Actuals!$Q:$Q,Actuals!$A:$A,$A162)</f>
        <v/>
      </c>
      <c r="D162" s="9">
        <f>SUMIFS(Actuals!$R:$R,Actuals!$A:$A,$A162)</f>
        <v/>
      </c>
      <c r="E162" s="9">
        <f>SUMIFS(Actuals!$S:$S,Actuals!$A:$A,$A162)</f>
        <v/>
      </c>
      <c r="F162" s="9">
        <f>SUMIFS(Actuals!$T:$T,Actuals!$A:$A,$A162)</f>
        <v/>
      </c>
      <c r="G162" s="9">
        <f>SUMIFS(Actuals!$U:$U,Actuals!$A:$A,$A162)</f>
        <v/>
      </c>
      <c r="H162" s="9">
        <f>SUMIFS(Actuals!$V:$V,Actuals!$A:$A,$A162)</f>
        <v/>
      </c>
      <c r="I162" s="9">
        <f>SUMIFS(Actuals!$W:$W,Actuals!$A:$A,$A162)</f>
        <v/>
      </c>
      <c r="J162" s="9">
        <f>SUMIFS(Actuals!$X:$X,Actuals!$A:$A,$A162)</f>
        <v/>
      </c>
      <c r="K162" s="9">
        <f>SUMIFS(Actuals!$Y:$Y,Actuals!$A:$A,$A162)</f>
        <v/>
      </c>
      <c r="L162" s="9">
        <f>SUMIFS(Actuals!$Z:$Z,Actuals!$A:$A,$A162)</f>
        <v/>
      </c>
      <c r="M162" s="9">
        <f>SUMIFS(Actuals!$AA:$AA,Actuals!$A:$A,$A162)</f>
        <v/>
      </c>
      <c r="N162" s="10">
        <f>SUM(B162:M162)</f>
        <v/>
      </c>
    </row>
    <row r="163">
      <c r="A163" s="5" t="inlineStr">
        <is>
          <t>Indirect Wages - PRD</t>
        </is>
      </c>
      <c r="B163" s="9">
        <f>SUMIFS(Actuals!$P:$P,Actuals!$A:$A,$A163)</f>
        <v/>
      </c>
      <c r="C163" s="9">
        <f>SUMIFS(Actuals!$Q:$Q,Actuals!$A:$A,$A163)</f>
        <v/>
      </c>
      <c r="D163" s="9">
        <f>SUMIFS(Actuals!$R:$R,Actuals!$A:$A,$A163)</f>
        <v/>
      </c>
      <c r="E163" s="9">
        <f>SUMIFS(Actuals!$S:$S,Actuals!$A:$A,$A163)</f>
        <v/>
      </c>
      <c r="F163" s="9">
        <f>SUMIFS(Actuals!$T:$T,Actuals!$A:$A,$A163)</f>
        <v/>
      </c>
      <c r="G163" s="9">
        <f>SUMIFS(Actuals!$U:$U,Actuals!$A:$A,$A163)</f>
        <v/>
      </c>
      <c r="H163" s="9">
        <f>SUMIFS(Actuals!$V:$V,Actuals!$A:$A,$A163)</f>
        <v/>
      </c>
      <c r="I163" s="9">
        <f>SUMIFS(Actuals!$W:$W,Actuals!$A:$A,$A163)</f>
        <v/>
      </c>
      <c r="J163" s="9">
        <f>SUMIFS(Actuals!$X:$X,Actuals!$A:$A,$A163)</f>
        <v/>
      </c>
      <c r="K163" s="9">
        <f>SUMIFS(Actuals!$Y:$Y,Actuals!$A:$A,$A163)</f>
        <v/>
      </c>
      <c r="L163" s="9">
        <f>SUMIFS(Actuals!$Z:$Z,Actuals!$A:$A,$A163)</f>
        <v/>
      </c>
      <c r="M163" s="9">
        <f>SUMIFS(Actuals!$AA:$AA,Actuals!$A:$A,$A163)</f>
        <v/>
      </c>
      <c r="N163" s="10">
        <f>SUM(B163:M163)</f>
        <v/>
      </c>
    </row>
    <row r="164">
      <c r="A164" s="5" t="inlineStr">
        <is>
          <t>Indirect Wages - VID</t>
        </is>
      </c>
      <c r="B164" s="9">
        <f>SUMIFS(Actuals!$P:$P,Actuals!$A:$A,$A164)</f>
        <v/>
      </c>
      <c r="C164" s="9">
        <f>SUMIFS(Actuals!$Q:$Q,Actuals!$A:$A,$A164)</f>
        <v/>
      </c>
      <c r="D164" s="9">
        <f>SUMIFS(Actuals!$R:$R,Actuals!$A:$A,$A164)</f>
        <v/>
      </c>
      <c r="E164" s="9">
        <f>SUMIFS(Actuals!$S:$S,Actuals!$A:$A,$A164)</f>
        <v/>
      </c>
      <c r="F164" s="9">
        <f>SUMIFS(Actuals!$T:$T,Actuals!$A:$A,$A164)</f>
        <v/>
      </c>
      <c r="G164" s="9">
        <f>SUMIFS(Actuals!$U:$U,Actuals!$A:$A,$A164)</f>
        <v/>
      </c>
      <c r="H164" s="9">
        <f>SUMIFS(Actuals!$V:$V,Actuals!$A:$A,$A164)</f>
        <v/>
      </c>
      <c r="I164" s="9">
        <f>SUMIFS(Actuals!$W:$W,Actuals!$A:$A,$A164)</f>
        <v/>
      </c>
      <c r="J164" s="9">
        <f>SUMIFS(Actuals!$X:$X,Actuals!$A:$A,$A164)</f>
        <v/>
      </c>
      <c r="K164" s="9">
        <f>SUMIFS(Actuals!$Y:$Y,Actuals!$A:$A,$A164)</f>
        <v/>
      </c>
      <c r="L164" s="9">
        <f>SUMIFS(Actuals!$Z:$Z,Actuals!$A:$A,$A164)</f>
        <v/>
      </c>
      <c r="M164" s="9">
        <f>SUMIFS(Actuals!$AA:$AA,Actuals!$A:$A,$A164)</f>
        <v/>
      </c>
      <c r="N164" s="10">
        <f>SUM(B164:M164)</f>
        <v/>
      </c>
    </row>
    <row r="165">
      <c r="A165" s="5" t="inlineStr">
        <is>
          <t>Instant Asset Write Off</t>
        </is>
      </c>
      <c r="B165" s="9">
        <f>SUMIFS(Actuals!$P:$P,Actuals!$A:$A,$A165)</f>
        <v/>
      </c>
      <c r="C165" s="9">
        <f>SUMIFS(Actuals!$Q:$Q,Actuals!$A:$A,$A165)</f>
        <v/>
      </c>
      <c r="D165" s="9">
        <f>SUMIFS(Actuals!$R:$R,Actuals!$A:$A,$A165)</f>
        <v/>
      </c>
      <c r="E165" s="9">
        <f>SUMIFS(Actuals!$S:$S,Actuals!$A:$A,$A165)</f>
        <v/>
      </c>
      <c r="F165" s="9">
        <f>SUMIFS(Actuals!$T:$T,Actuals!$A:$A,$A165)</f>
        <v/>
      </c>
      <c r="G165" s="9">
        <f>SUMIFS(Actuals!$U:$U,Actuals!$A:$A,$A165)</f>
        <v/>
      </c>
      <c r="H165" s="9">
        <f>SUMIFS(Actuals!$V:$V,Actuals!$A:$A,$A165)</f>
        <v/>
      </c>
      <c r="I165" s="9">
        <f>SUMIFS(Actuals!$W:$W,Actuals!$A:$A,$A165)</f>
        <v/>
      </c>
      <c r="J165" s="9">
        <f>SUMIFS(Actuals!$X:$X,Actuals!$A:$A,$A165)</f>
        <v/>
      </c>
      <c r="K165" s="9">
        <f>SUMIFS(Actuals!$Y:$Y,Actuals!$A:$A,$A165)</f>
        <v/>
      </c>
      <c r="L165" s="9">
        <f>SUMIFS(Actuals!$Z:$Z,Actuals!$A:$A,$A165)</f>
        <v/>
      </c>
      <c r="M165" s="9">
        <f>SUMIFS(Actuals!$AA:$AA,Actuals!$A:$A,$A165)</f>
        <v/>
      </c>
      <c r="N165" s="10">
        <f>SUM(B165:M165)</f>
        <v/>
      </c>
    </row>
    <row r="166">
      <c r="A166" s="5" t="inlineStr">
        <is>
          <t>Insurance</t>
        </is>
      </c>
      <c r="B166" s="9">
        <f>SUMIFS(Actuals!$P:$P,Actuals!$A:$A,$A166)</f>
        <v/>
      </c>
      <c r="C166" s="9">
        <f>SUMIFS(Actuals!$Q:$Q,Actuals!$A:$A,$A166)</f>
        <v/>
      </c>
      <c r="D166" s="9">
        <f>SUMIFS(Actuals!$R:$R,Actuals!$A:$A,$A166)</f>
        <v/>
      </c>
      <c r="E166" s="9">
        <f>SUMIFS(Actuals!$S:$S,Actuals!$A:$A,$A166)</f>
        <v/>
      </c>
      <c r="F166" s="9">
        <f>SUMIFS(Actuals!$T:$T,Actuals!$A:$A,$A166)</f>
        <v/>
      </c>
      <c r="G166" s="9">
        <f>SUMIFS(Actuals!$U:$U,Actuals!$A:$A,$A166)</f>
        <v/>
      </c>
      <c r="H166" s="9">
        <f>SUMIFS(Actuals!$V:$V,Actuals!$A:$A,$A166)</f>
        <v/>
      </c>
      <c r="I166" s="9">
        <f>SUMIFS(Actuals!$W:$W,Actuals!$A:$A,$A166)</f>
        <v/>
      </c>
      <c r="J166" s="9">
        <f>SUMIFS(Actuals!$X:$X,Actuals!$A:$A,$A166)</f>
        <v/>
      </c>
      <c r="K166" s="9">
        <f>SUMIFS(Actuals!$Y:$Y,Actuals!$A:$A,$A166)</f>
        <v/>
      </c>
      <c r="L166" s="9">
        <f>SUMIFS(Actuals!$Z:$Z,Actuals!$A:$A,$A166)</f>
        <v/>
      </c>
      <c r="M166" s="9">
        <f>SUMIFS(Actuals!$AA:$AA,Actuals!$A:$A,$A166)</f>
        <v/>
      </c>
      <c r="N166" s="10">
        <f>SUM(B166:M166)</f>
        <v/>
      </c>
    </row>
    <row r="167">
      <c r="A167" s="5" t="inlineStr">
        <is>
          <t>Interest Expense</t>
        </is>
      </c>
      <c r="B167" s="9">
        <f>SUMIFS(Actuals!$P:$P,Actuals!$A:$A,$A167)</f>
        <v/>
      </c>
      <c r="C167" s="9">
        <f>SUMIFS(Actuals!$Q:$Q,Actuals!$A:$A,$A167)</f>
        <v/>
      </c>
      <c r="D167" s="9">
        <f>SUMIFS(Actuals!$R:$R,Actuals!$A:$A,$A167)</f>
        <v/>
      </c>
      <c r="E167" s="9">
        <f>SUMIFS(Actuals!$S:$S,Actuals!$A:$A,$A167)</f>
        <v/>
      </c>
      <c r="F167" s="9">
        <f>SUMIFS(Actuals!$T:$T,Actuals!$A:$A,$A167)</f>
        <v/>
      </c>
      <c r="G167" s="9">
        <f>SUMIFS(Actuals!$U:$U,Actuals!$A:$A,$A167)</f>
        <v/>
      </c>
      <c r="H167" s="9">
        <f>SUMIFS(Actuals!$V:$V,Actuals!$A:$A,$A167)</f>
        <v/>
      </c>
      <c r="I167" s="9">
        <f>SUMIFS(Actuals!$W:$W,Actuals!$A:$A,$A167)</f>
        <v/>
      </c>
      <c r="J167" s="9">
        <f>SUMIFS(Actuals!$X:$X,Actuals!$A:$A,$A167)</f>
        <v/>
      </c>
      <c r="K167" s="9">
        <f>SUMIFS(Actuals!$Y:$Y,Actuals!$A:$A,$A167)</f>
        <v/>
      </c>
      <c r="L167" s="9">
        <f>SUMIFS(Actuals!$Z:$Z,Actuals!$A:$A,$A167)</f>
        <v/>
      </c>
      <c r="M167" s="9">
        <f>SUMIFS(Actuals!$AA:$AA,Actuals!$A:$A,$A167)</f>
        <v/>
      </c>
      <c r="N167" s="10">
        <f>SUM(B167:M167)</f>
        <v/>
      </c>
    </row>
    <row r="168">
      <c r="A168" s="5" t="inlineStr">
        <is>
          <t>Internet</t>
        </is>
      </c>
      <c r="B168" s="9">
        <f>SUMIFS(Actuals!$P:$P,Actuals!$A:$A,$A168)</f>
        <v/>
      </c>
      <c r="C168" s="9">
        <f>SUMIFS(Actuals!$Q:$Q,Actuals!$A:$A,$A168)</f>
        <v/>
      </c>
      <c r="D168" s="9">
        <f>SUMIFS(Actuals!$R:$R,Actuals!$A:$A,$A168)</f>
        <v/>
      </c>
      <c r="E168" s="9">
        <f>SUMIFS(Actuals!$S:$S,Actuals!$A:$A,$A168)</f>
        <v/>
      </c>
      <c r="F168" s="9">
        <f>SUMIFS(Actuals!$T:$T,Actuals!$A:$A,$A168)</f>
        <v/>
      </c>
      <c r="G168" s="9">
        <f>SUMIFS(Actuals!$U:$U,Actuals!$A:$A,$A168)</f>
        <v/>
      </c>
      <c r="H168" s="9">
        <f>SUMIFS(Actuals!$V:$V,Actuals!$A:$A,$A168)</f>
        <v/>
      </c>
      <c r="I168" s="9">
        <f>SUMIFS(Actuals!$W:$W,Actuals!$A:$A,$A168)</f>
        <v/>
      </c>
      <c r="J168" s="9">
        <f>SUMIFS(Actuals!$X:$X,Actuals!$A:$A,$A168)</f>
        <v/>
      </c>
      <c r="K168" s="9">
        <f>SUMIFS(Actuals!$Y:$Y,Actuals!$A:$A,$A168)</f>
        <v/>
      </c>
      <c r="L168" s="9">
        <f>SUMIFS(Actuals!$Z:$Z,Actuals!$A:$A,$A168)</f>
        <v/>
      </c>
      <c r="M168" s="9">
        <f>SUMIFS(Actuals!$AA:$AA,Actuals!$A:$A,$A168)</f>
        <v/>
      </c>
      <c r="N168" s="10">
        <f>SUM(B168:M168)</f>
        <v/>
      </c>
    </row>
    <row r="169">
      <c r="A169" s="5" t="inlineStr">
        <is>
          <t>Leave expense (Annual)</t>
        </is>
      </c>
      <c r="B169" s="9">
        <f>SUMIFS(Actuals!$P:$P,Actuals!$A:$A,$A169)</f>
        <v/>
      </c>
      <c r="C169" s="9">
        <f>SUMIFS(Actuals!$Q:$Q,Actuals!$A:$A,$A169)</f>
        <v/>
      </c>
      <c r="D169" s="9">
        <f>SUMIFS(Actuals!$R:$R,Actuals!$A:$A,$A169)</f>
        <v/>
      </c>
      <c r="E169" s="9">
        <f>SUMIFS(Actuals!$S:$S,Actuals!$A:$A,$A169)</f>
        <v/>
      </c>
      <c r="F169" s="9">
        <f>SUMIFS(Actuals!$T:$T,Actuals!$A:$A,$A169)</f>
        <v/>
      </c>
      <c r="G169" s="9">
        <f>SUMIFS(Actuals!$U:$U,Actuals!$A:$A,$A169)</f>
        <v/>
      </c>
      <c r="H169" s="9">
        <f>SUMIFS(Actuals!$V:$V,Actuals!$A:$A,$A169)</f>
        <v/>
      </c>
      <c r="I169" s="9">
        <f>SUMIFS(Actuals!$W:$W,Actuals!$A:$A,$A169)</f>
        <v/>
      </c>
      <c r="J169" s="9">
        <f>SUMIFS(Actuals!$X:$X,Actuals!$A:$A,$A169)</f>
        <v/>
      </c>
      <c r="K169" s="9">
        <f>SUMIFS(Actuals!$Y:$Y,Actuals!$A:$A,$A169)</f>
        <v/>
      </c>
      <c r="L169" s="9">
        <f>SUMIFS(Actuals!$Z:$Z,Actuals!$A:$A,$A169)</f>
        <v/>
      </c>
      <c r="M169" s="9">
        <f>SUMIFS(Actuals!$AA:$AA,Actuals!$A:$A,$A169)</f>
        <v/>
      </c>
      <c r="N169" s="10">
        <f>SUM(B169:M169)</f>
        <v/>
      </c>
    </row>
    <row r="170">
      <c r="A170" s="5" t="inlineStr">
        <is>
          <t>Leave expense (Long Service)</t>
        </is>
      </c>
      <c r="B170" s="9">
        <f>SUMIFS(Actuals!$P:$P,Actuals!$A:$A,$A170)</f>
        <v/>
      </c>
      <c r="C170" s="9">
        <f>SUMIFS(Actuals!$Q:$Q,Actuals!$A:$A,$A170)</f>
        <v/>
      </c>
      <c r="D170" s="9">
        <f>SUMIFS(Actuals!$R:$R,Actuals!$A:$A,$A170)</f>
        <v/>
      </c>
      <c r="E170" s="9">
        <f>SUMIFS(Actuals!$S:$S,Actuals!$A:$A,$A170)</f>
        <v/>
      </c>
      <c r="F170" s="9">
        <f>SUMIFS(Actuals!$T:$T,Actuals!$A:$A,$A170)</f>
        <v/>
      </c>
      <c r="G170" s="9">
        <f>SUMIFS(Actuals!$U:$U,Actuals!$A:$A,$A170)</f>
        <v/>
      </c>
      <c r="H170" s="9">
        <f>SUMIFS(Actuals!$V:$V,Actuals!$A:$A,$A170)</f>
        <v/>
      </c>
      <c r="I170" s="9">
        <f>SUMIFS(Actuals!$W:$W,Actuals!$A:$A,$A170)</f>
        <v/>
      </c>
      <c r="J170" s="9">
        <f>SUMIFS(Actuals!$X:$X,Actuals!$A:$A,$A170)</f>
        <v/>
      </c>
      <c r="K170" s="9">
        <f>SUMIFS(Actuals!$Y:$Y,Actuals!$A:$A,$A170)</f>
        <v/>
      </c>
      <c r="L170" s="9">
        <f>SUMIFS(Actuals!$Z:$Z,Actuals!$A:$A,$A170)</f>
        <v/>
      </c>
      <c r="M170" s="9">
        <f>SUMIFS(Actuals!$AA:$AA,Actuals!$A:$A,$A170)</f>
        <v/>
      </c>
      <c r="N170" s="10">
        <f>SUM(B170:M170)</f>
        <v/>
      </c>
    </row>
    <row r="171">
      <c r="A171" s="5" t="inlineStr">
        <is>
          <t>Legal Fees</t>
        </is>
      </c>
      <c r="B171" s="9">
        <f>SUMIFS(Actuals!$P:$P,Actuals!$A:$A,$A171)</f>
        <v/>
      </c>
      <c r="C171" s="9">
        <f>SUMIFS(Actuals!$Q:$Q,Actuals!$A:$A,$A171)</f>
        <v/>
      </c>
      <c r="D171" s="9">
        <f>SUMIFS(Actuals!$R:$R,Actuals!$A:$A,$A171)</f>
        <v/>
      </c>
      <c r="E171" s="9">
        <f>SUMIFS(Actuals!$S:$S,Actuals!$A:$A,$A171)</f>
        <v/>
      </c>
      <c r="F171" s="9">
        <f>SUMIFS(Actuals!$T:$T,Actuals!$A:$A,$A171)</f>
        <v/>
      </c>
      <c r="G171" s="9">
        <f>SUMIFS(Actuals!$U:$U,Actuals!$A:$A,$A171)</f>
        <v/>
      </c>
      <c r="H171" s="9">
        <f>SUMIFS(Actuals!$V:$V,Actuals!$A:$A,$A171)</f>
        <v/>
      </c>
      <c r="I171" s="9">
        <f>SUMIFS(Actuals!$W:$W,Actuals!$A:$A,$A171)</f>
        <v/>
      </c>
      <c r="J171" s="9">
        <f>SUMIFS(Actuals!$X:$X,Actuals!$A:$A,$A171)</f>
        <v/>
      </c>
      <c r="K171" s="9">
        <f>SUMIFS(Actuals!$Y:$Y,Actuals!$A:$A,$A171)</f>
        <v/>
      </c>
      <c r="L171" s="9">
        <f>SUMIFS(Actuals!$Z:$Z,Actuals!$A:$A,$A171)</f>
        <v/>
      </c>
      <c r="M171" s="9">
        <f>SUMIFS(Actuals!$AA:$AA,Actuals!$A:$A,$A171)</f>
        <v/>
      </c>
      <c r="N171" s="10">
        <f>SUM(B171:M171)</f>
        <v/>
      </c>
    </row>
    <row r="172">
      <c r="A172" s="5" t="inlineStr">
        <is>
          <t>Mobile Phones</t>
        </is>
      </c>
      <c r="B172" s="9">
        <f>SUMIFS(Actuals!$P:$P,Actuals!$A:$A,$A172)</f>
        <v/>
      </c>
      <c r="C172" s="9">
        <f>SUMIFS(Actuals!$Q:$Q,Actuals!$A:$A,$A172)</f>
        <v/>
      </c>
      <c r="D172" s="9">
        <f>SUMIFS(Actuals!$R:$R,Actuals!$A:$A,$A172)</f>
        <v/>
      </c>
      <c r="E172" s="9">
        <f>SUMIFS(Actuals!$S:$S,Actuals!$A:$A,$A172)</f>
        <v/>
      </c>
      <c r="F172" s="9">
        <f>SUMIFS(Actuals!$T:$T,Actuals!$A:$A,$A172)</f>
        <v/>
      </c>
      <c r="G172" s="9">
        <f>SUMIFS(Actuals!$U:$U,Actuals!$A:$A,$A172)</f>
        <v/>
      </c>
      <c r="H172" s="9">
        <f>SUMIFS(Actuals!$V:$V,Actuals!$A:$A,$A172)</f>
        <v/>
      </c>
      <c r="I172" s="9">
        <f>SUMIFS(Actuals!$W:$W,Actuals!$A:$A,$A172)</f>
        <v/>
      </c>
      <c r="J172" s="9">
        <f>SUMIFS(Actuals!$X:$X,Actuals!$A:$A,$A172)</f>
        <v/>
      </c>
      <c r="K172" s="9">
        <f>SUMIFS(Actuals!$Y:$Y,Actuals!$A:$A,$A172)</f>
        <v/>
      </c>
      <c r="L172" s="9">
        <f>SUMIFS(Actuals!$Z:$Z,Actuals!$A:$A,$A172)</f>
        <v/>
      </c>
      <c r="M172" s="9">
        <f>SUMIFS(Actuals!$AA:$AA,Actuals!$A:$A,$A172)</f>
        <v/>
      </c>
      <c r="N172" s="10">
        <f>SUM(B172:M172)</f>
        <v/>
      </c>
    </row>
    <row r="173">
      <c r="A173" s="5" t="inlineStr">
        <is>
          <t>Office Cleaning</t>
        </is>
      </c>
      <c r="B173" s="9">
        <f>SUMIFS(Actuals!$P:$P,Actuals!$A:$A,$A173)</f>
        <v/>
      </c>
      <c r="C173" s="9">
        <f>SUMIFS(Actuals!$Q:$Q,Actuals!$A:$A,$A173)</f>
        <v/>
      </c>
      <c r="D173" s="9">
        <f>SUMIFS(Actuals!$R:$R,Actuals!$A:$A,$A173)</f>
        <v/>
      </c>
      <c r="E173" s="9">
        <f>SUMIFS(Actuals!$S:$S,Actuals!$A:$A,$A173)</f>
        <v/>
      </c>
      <c r="F173" s="9">
        <f>SUMIFS(Actuals!$T:$T,Actuals!$A:$A,$A173)</f>
        <v/>
      </c>
      <c r="G173" s="9">
        <f>SUMIFS(Actuals!$U:$U,Actuals!$A:$A,$A173)</f>
        <v/>
      </c>
      <c r="H173" s="9">
        <f>SUMIFS(Actuals!$V:$V,Actuals!$A:$A,$A173)</f>
        <v/>
      </c>
      <c r="I173" s="9">
        <f>SUMIFS(Actuals!$W:$W,Actuals!$A:$A,$A173)</f>
        <v/>
      </c>
      <c r="J173" s="9">
        <f>SUMIFS(Actuals!$X:$X,Actuals!$A:$A,$A173)</f>
        <v/>
      </c>
      <c r="K173" s="9">
        <f>SUMIFS(Actuals!$Y:$Y,Actuals!$A:$A,$A173)</f>
        <v/>
      </c>
      <c r="L173" s="9">
        <f>SUMIFS(Actuals!$Z:$Z,Actuals!$A:$A,$A173)</f>
        <v/>
      </c>
      <c r="M173" s="9">
        <f>SUMIFS(Actuals!$AA:$AA,Actuals!$A:$A,$A173)</f>
        <v/>
      </c>
      <c r="N173" s="10">
        <f>SUM(B173:M173)</f>
        <v/>
      </c>
    </row>
    <row r="174">
      <c r="A174" s="5" t="inlineStr">
        <is>
          <t>Office Phones</t>
        </is>
      </c>
      <c r="B174" s="9">
        <f>SUMIFS(Actuals!$P:$P,Actuals!$A:$A,$A174)</f>
        <v/>
      </c>
      <c r="C174" s="9">
        <f>SUMIFS(Actuals!$Q:$Q,Actuals!$A:$A,$A174)</f>
        <v/>
      </c>
      <c r="D174" s="9">
        <f>SUMIFS(Actuals!$R:$R,Actuals!$A:$A,$A174)</f>
        <v/>
      </c>
      <c r="E174" s="9">
        <f>SUMIFS(Actuals!$S:$S,Actuals!$A:$A,$A174)</f>
        <v/>
      </c>
      <c r="F174" s="9">
        <f>SUMIFS(Actuals!$T:$T,Actuals!$A:$A,$A174)</f>
        <v/>
      </c>
      <c r="G174" s="9">
        <f>SUMIFS(Actuals!$U:$U,Actuals!$A:$A,$A174)</f>
        <v/>
      </c>
      <c r="H174" s="9">
        <f>SUMIFS(Actuals!$V:$V,Actuals!$A:$A,$A174)</f>
        <v/>
      </c>
      <c r="I174" s="9">
        <f>SUMIFS(Actuals!$W:$W,Actuals!$A:$A,$A174)</f>
        <v/>
      </c>
      <c r="J174" s="9">
        <f>SUMIFS(Actuals!$X:$X,Actuals!$A:$A,$A174)</f>
        <v/>
      </c>
      <c r="K174" s="9">
        <f>SUMIFS(Actuals!$Y:$Y,Actuals!$A:$A,$A174)</f>
        <v/>
      </c>
      <c r="L174" s="9">
        <f>SUMIFS(Actuals!$Z:$Z,Actuals!$A:$A,$A174)</f>
        <v/>
      </c>
      <c r="M174" s="9">
        <f>SUMIFS(Actuals!$AA:$AA,Actuals!$A:$A,$A174)</f>
        <v/>
      </c>
      <c r="N174" s="10">
        <f>SUM(B174:M174)</f>
        <v/>
      </c>
    </row>
    <row r="175">
      <c r="A175" s="5" t="inlineStr">
        <is>
          <t>Office Rentals</t>
        </is>
      </c>
      <c r="B175" s="9">
        <f>SUMIFS(Actuals!$P:$P,Actuals!$A:$A,$A175)</f>
        <v/>
      </c>
      <c r="C175" s="9">
        <f>SUMIFS(Actuals!$Q:$Q,Actuals!$A:$A,$A175)</f>
        <v/>
      </c>
      <c r="D175" s="9">
        <f>SUMIFS(Actuals!$R:$R,Actuals!$A:$A,$A175)</f>
        <v/>
      </c>
      <c r="E175" s="9">
        <f>SUMIFS(Actuals!$S:$S,Actuals!$A:$A,$A175)</f>
        <v/>
      </c>
      <c r="F175" s="9">
        <f>SUMIFS(Actuals!$T:$T,Actuals!$A:$A,$A175)</f>
        <v/>
      </c>
      <c r="G175" s="9">
        <f>SUMIFS(Actuals!$U:$U,Actuals!$A:$A,$A175)</f>
        <v/>
      </c>
      <c r="H175" s="9">
        <f>SUMIFS(Actuals!$V:$V,Actuals!$A:$A,$A175)</f>
        <v/>
      </c>
      <c r="I175" s="9">
        <f>SUMIFS(Actuals!$W:$W,Actuals!$A:$A,$A175)</f>
        <v/>
      </c>
      <c r="J175" s="9">
        <f>SUMIFS(Actuals!$X:$X,Actuals!$A:$A,$A175)</f>
        <v/>
      </c>
      <c r="K175" s="9">
        <f>SUMIFS(Actuals!$Y:$Y,Actuals!$A:$A,$A175)</f>
        <v/>
      </c>
      <c r="L175" s="9">
        <f>SUMIFS(Actuals!$Z:$Z,Actuals!$A:$A,$A175)</f>
        <v/>
      </c>
      <c r="M175" s="9">
        <f>SUMIFS(Actuals!$AA:$AA,Actuals!$A:$A,$A175)</f>
        <v/>
      </c>
      <c r="N175" s="10">
        <f>SUM(B175:M175)</f>
        <v/>
      </c>
    </row>
    <row r="176">
      <c r="A176" s="5" t="inlineStr">
        <is>
          <t>Office Supplies</t>
        </is>
      </c>
      <c r="B176" s="9">
        <f>SUMIFS(Actuals!$P:$P,Actuals!$A:$A,$A176)</f>
        <v/>
      </c>
      <c r="C176" s="9">
        <f>SUMIFS(Actuals!$Q:$Q,Actuals!$A:$A,$A176)</f>
        <v/>
      </c>
      <c r="D176" s="9">
        <f>SUMIFS(Actuals!$R:$R,Actuals!$A:$A,$A176)</f>
        <v/>
      </c>
      <c r="E176" s="9">
        <f>SUMIFS(Actuals!$S:$S,Actuals!$A:$A,$A176)</f>
        <v/>
      </c>
      <c r="F176" s="9">
        <f>SUMIFS(Actuals!$T:$T,Actuals!$A:$A,$A176)</f>
        <v/>
      </c>
      <c r="G176" s="9">
        <f>SUMIFS(Actuals!$U:$U,Actuals!$A:$A,$A176)</f>
        <v/>
      </c>
      <c r="H176" s="9">
        <f>SUMIFS(Actuals!$V:$V,Actuals!$A:$A,$A176)</f>
        <v/>
      </c>
      <c r="I176" s="9">
        <f>SUMIFS(Actuals!$W:$W,Actuals!$A:$A,$A176)</f>
        <v/>
      </c>
      <c r="J176" s="9">
        <f>SUMIFS(Actuals!$X:$X,Actuals!$A:$A,$A176)</f>
        <v/>
      </c>
      <c r="K176" s="9">
        <f>SUMIFS(Actuals!$Y:$Y,Actuals!$A:$A,$A176)</f>
        <v/>
      </c>
      <c r="L176" s="9">
        <f>SUMIFS(Actuals!$Z:$Z,Actuals!$A:$A,$A176)</f>
        <v/>
      </c>
      <c r="M176" s="9">
        <f>SUMIFS(Actuals!$AA:$AA,Actuals!$A:$A,$A176)</f>
        <v/>
      </c>
      <c r="N176" s="10">
        <f>SUM(B176:M176)</f>
        <v/>
      </c>
    </row>
    <row r="177">
      <c r="A177" s="5" t="inlineStr">
        <is>
          <t>Office Supplies [61500]</t>
        </is>
      </c>
      <c r="B177" s="9">
        <f>SUMIFS(Actuals!$P:$P,Actuals!$A:$A,$A177)</f>
        <v/>
      </c>
      <c r="C177" s="9">
        <f>SUMIFS(Actuals!$Q:$Q,Actuals!$A:$A,$A177)</f>
        <v/>
      </c>
      <c r="D177" s="9">
        <f>SUMIFS(Actuals!$R:$R,Actuals!$A:$A,$A177)</f>
        <v/>
      </c>
      <c r="E177" s="9">
        <f>SUMIFS(Actuals!$S:$S,Actuals!$A:$A,$A177)</f>
        <v/>
      </c>
      <c r="F177" s="9">
        <f>SUMIFS(Actuals!$T:$T,Actuals!$A:$A,$A177)</f>
        <v/>
      </c>
      <c r="G177" s="9">
        <f>SUMIFS(Actuals!$U:$U,Actuals!$A:$A,$A177)</f>
        <v/>
      </c>
      <c r="H177" s="9">
        <f>SUMIFS(Actuals!$V:$V,Actuals!$A:$A,$A177)</f>
        <v/>
      </c>
      <c r="I177" s="9">
        <f>SUMIFS(Actuals!$W:$W,Actuals!$A:$A,$A177)</f>
        <v/>
      </c>
      <c r="J177" s="9">
        <f>SUMIFS(Actuals!$X:$X,Actuals!$A:$A,$A177)</f>
        <v/>
      </c>
      <c r="K177" s="9">
        <f>SUMIFS(Actuals!$Y:$Y,Actuals!$A:$A,$A177)</f>
        <v/>
      </c>
      <c r="L177" s="9">
        <f>SUMIFS(Actuals!$Z:$Z,Actuals!$A:$A,$A177)</f>
        <v/>
      </c>
      <c r="M177" s="9">
        <f>SUMIFS(Actuals!$AA:$AA,Actuals!$A:$A,$A177)</f>
        <v/>
      </c>
      <c r="N177" s="10">
        <f>SUM(B177:M177)</f>
        <v/>
      </c>
    </row>
    <row r="178">
      <c r="A178" s="5" t="inlineStr">
        <is>
          <t>Other Expenses [64900]</t>
        </is>
      </c>
      <c r="B178" s="9">
        <f>SUMIFS(Actuals!$P:$P,Actuals!$A:$A,$A178)</f>
        <v/>
      </c>
      <c r="C178" s="9">
        <f>SUMIFS(Actuals!$Q:$Q,Actuals!$A:$A,$A178)</f>
        <v/>
      </c>
      <c r="D178" s="9">
        <f>SUMIFS(Actuals!$R:$R,Actuals!$A:$A,$A178)</f>
        <v/>
      </c>
      <c r="E178" s="9">
        <f>SUMIFS(Actuals!$S:$S,Actuals!$A:$A,$A178)</f>
        <v/>
      </c>
      <c r="F178" s="9">
        <f>SUMIFS(Actuals!$T:$T,Actuals!$A:$A,$A178)</f>
        <v/>
      </c>
      <c r="G178" s="9">
        <f>SUMIFS(Actuals!$U:$U,Actuals!$A:$A,$A178)</f>
        <v/>
      </c>
      <c r="H178" s="9">
        <f>SUMIFS(Actuals!$V:$V,Actuals!$A:$A,$A178)</f>
        <v/>
      </c>
      <c r="I178" s="9">
        <f>SUMIFS(Actuals!$W:$W,Actuals!$A:$A,$A178)</f>
        <v/>
      </c>
      <c r="J178" s="9">
        <f>SUMIFS(Actuals!$X:$X,Actuals!$A:$A,$A178)</f>
        <v/>
      </c>
      <c r="K178" s="9">
        <f>SUMIFS(Actuals!$Y:$Y,Actuals!$A:$A,$A178)</f>
        <v/>
      </c>
      <c r="L178" s="9">
        <f>SUMIFS(Actuals!$Z:$Z,Actuals!$A:$A,$A178)</f>
        <v/>
      </c>
      <c r="M178" s="9">
        <f>SUMIFS(Actuals!$AA:$AA,Actuals!$A:$A,$A178)</f>
        <v/>
      </c>
      <c r="N178" s="10">
        <f>SUM(B178:M178)</f>
        <v/>
      </c>
    </row>
    <row r="179">
      <c r="A179" s="5" t="inlineStr">
        <is>
          <t>Other Insurance</t>
        </is>
      </c>
      <c r="B179" s="9">
        <f>SUMIFS(Actuals!$P:$P,Actuals!$A:$A,$A179)</f>
        <v/>
      </c>
      <c r="C179" s="9">
        <f>SUMIFS(Actuals!$Q:$Q,Actuals!$A:$A,$A179)</f>
        <v/>
      </c>
      <c r="D179" s="9">
        <f>SUMIFS(Actuals!$R:$R,Actuals!$A:$A,$A179)</f>
        <v/>
      </c>
      <c r="E179" s="9">
        <f>SUMIFS(Actuals!$S:$S,Actuals!$A:$A,$A179)</f>
        <v/>
      </c>
      <c r="F179" s="9">
        <f>SUMIFS(Actuals!$T:$T,Actuals!$A:$A,$A179)</f>
        <v/>
      </c>
      <c r="G179" s="9">
        <f>SUMIFS(Actuals!$U:$U,Actuals!$A:$A,$A179)</f>
        <v/>
      </c>
      <c r="H179" s="9">
        <f>SUMIFS(Actuals!$V:$V,Actuals!$A:$A,$A179)</f>
        <v/>
      </c>
      <c r="I179" s="9">
        <f>SUMIFS(Actuals!$W:$W,Actuals!$A:$A,$A179)</f>
        <v/>
      </c>
      <c r="J179" s="9">
        <f>SUMIFS(Actuals!$X:$X,Actuals!$A:$A,$A179)</f>
        <v/>
      </c>
      <c r="K179" s="9">
        <f>SUMIFS(Actuals!$Y:$Y,Actuals!$A:$A,$A179)</f>
        <v/>
      </c>
      <c r="L179" s="9">
        <f>SUMIFS(Actuals!$Z:$Z,Actuals!$A:$A,$A179)</f>
        <v/>
      </c>
      <c r="M179" s="9">
        <f>SUMIFS(Actuals!$AA:$AA,Actuals!$A:$A,$A179)</f>
        <v/>
      </c>
      <c r="N179" s="10">
        <f>SUM(B179:M179)</f>
        <v/>
      </c>
    </row>
    <row r="180">
      <c r="A180" s="5" t="inlineStr">
        <is>
          <t>Other Telco Expenses</t>
        </is>
      </c>
      <c r="B180" s="9">
        <f>SUMIFS(Actuals!$P:$P,Actuals!$A:$A,$A180)</f>
        <v/>
      </c>
      <c r="C180" s="9">
        <f>SUMIFS(Actuals!$Q:$Q,Actuals!$A:$A,$A180)</f>
        <v/>
      </c>
      <c r="D180" s="9">
        <f>SUMIFS(Actuals!$R:$R,Actuals!$A:$A,$A180)</f>
        <v/>
      </c>
      <c r="E180" s="9">
        <f>SUMIFS(Actuals!$S:$S,Actuals!$A:$A,$A180)</f>
        <v/>
      </c>
      <c r="F180" s="9">
        <f>SUMIFS(Actuals!$T:$T,Actuals!$A:$A,$A180)</f>
        <v/>
      </c>
      <c r="G180" s="9">
        <f>SUMIFS(Actuals!$U:$U,Actuals!$A:$A,$A180)</f>
        <v/>
      </c>
      <c r="H180" s="9">
        <f>SUMIFS(Actuals!$V:$V,Actuals!$A:$A,$A180)</f>
        <v/>
      </c>
      <c r="I180" s="9">
        <f>SUMIFS(Actuals!$W:$W,Actuals!$A:$A,$A180)</f>
        <v/>
      </c>
      <c r="J180" s="9">
        <f>SUMIFS(Actuals!$X:$X,Actuals!$A:$A,$A180)</f>
        <v/>
      </c>
      <c r="K180" s="9">
        <f>SUMIFS(Actuals!$Y:$Y,Actuals!$A:$A,$A180)</f>
        <v/>
      </c>
      <c r="L180" s="9">
        <f>SUMIFS(Actuals!$Z:$Z,Actuals!$A:$A,$A180)</f>
        <v/>
      </c>
      <c r="M180" s="9">
        <f>SUMIFS(Actuals!$AA:$AA,Actuals!$A:$A,$A180)</f>
        <v/>
      </c>
      <c r="N180" s="10">
        <f>SUM(B180:M180)</f>
        <v/>
      </c>
    </row>
    <row r="181">
      <c r="A181" s="5" t="inlineStr">
        <is>
          <t>Pager</t>
        </is>
      </c>
      <c r="B181" s="9">
        <f>SUMIFS(Actuals!$P:$P,Actuals!$A:$A,$A181)</f>
        <v/>
      </c>
      <c r="C181" s="9">
        <f>SUMIFS(Actuals!$Q:$Q,Actuals!$A:$A,$A181)</f>
        <v/>
      </c>
      <c r="D181" s="9">
        <f>SUMIFS(Actuals!$R:$R,Actuals!$A:$A,$A181)</f>
        <v/>
      </c>
      <c r="E181" s="9">
        <f>SUMIFS(Actuals!$S:$S,Actuals!$A:$A,$A181)</f>
        <v/>
      </c>
      <c r="F181" s="9">
        <f>SUMIFS(Actuals!$T:$T,Actuals!$A:$A,$A181)</f>
        <v/>
      </c>
      <c r="G181" s="9">
        <f>SUMIFS(Actuals!$U:$U,Actuals!$A:$A,$A181)</f>
        <v/>
      </c>
      <c r="H181" s="9">
        <f>SUMIFS(Actuals!$V:$V,Actuals!$A:$A,$A181)</f>
        <v/>
      </c>
      <c r="I181" s="9">
        <f>SUMIFS(Actuals!$W:$W,Actuals!$A:$A,$A181)</f>
        <v/>
      </c>
      <c r="J181" s="9">
        <f>SUMIFS(Actuals!$X:$X,Actuals!$A:$A,$A181)</f>
        <v/>
      </c>
      <c r="K181" s="9">
        <f>SUMIFS(Actuals!$Y:$Y,Actuals!$A:$A,$A181)</f>
        <v/>
      </c>
      <c r="L181" s="9">
        <f>SUMIFS(Actuals!$Z:$Z,Actuals!$A:$A,$A181)</f>
        <v/>
      </c>
      <c r="M181" s="9">
        <f>SUMIFS(Actuals!$AA:$AA,Actuals!$A:$A,$A181)</f>
        <v/>
      </c>
      <c r="N181" s="10">
        <f>SUM(B181:M181)</f>
        <v/>
      </c>
    </row>
    <row r="182">
      <c r="A182" s="5" t="inlineStr">
        <is>
          <t>Payroll Processing Fee</t>
        </is>
      </c>
      <c r="B182" s="9">
        <f>SUMIFS(Actuals!$P:$P,Actuals!$A:$A,$A182)</f>
        <v/>
      </c>
      <c r="C182" s="9">
        <f>SUMIFS(Actuals!$Q:$Q,Actuals!$A:$A,$A182)</f>
        <v/>
      </c>
      <c r="D182" s="9">
        <f>SUMIFS(Actuals!$R:$R,Actuals!$A:$A,$A182)</f>
        <v/>
      </c>
      <c r="E182" s="9">
        <f>SUMIFS(Actuals!$S:$S,Actuals!$A:$A,$A182)</f>
        <v/>
      </c>
      <c r="F182" s="9">
        <f>SUMIFS(Actuals!$T:$T,Actuals!$A:$A,$A182)</f>
        <v/>
      </c>
      <c r="G182" s="9">
        <f>SUMIFS(Actuals!$U:$U,Actuals!$A:$A,$A182)</f>
        <v/>
      </c>
      <c r="H182" s="9">
        <f>SUMIFS(Actuals!$V:$V,Actuals!$A:$A,$A182)</f>
        <v/>
      </c>
      <c r="I182" s="9">
        <f>SUMIFS(Actuals!$W:$W,Actuals!$A:$A,$A182)</f>
        <v/>
      </c>
      <c r="J182" s="9">
        <f>SUMIFS(Actuals!$X:$X,Actuals!$A:$A,$A182)</f>
        <v/>
      </c>
      <c r="K182" s="9">
        <f>SUMIFS(Actuals!$Y:$Y,Actuals!$A:$A,$A182)</f>
        <v/>
      </c>
      <c r="L182" s="9">
        <f>SUMIFS(Actuals!$Z:$Z,Actuals!$A:$A,$A182)</f>
        <v/>
      </c>
      <c r="M182" s="9">
        <f>SUMIFS(Actuals!$AA:$AA,Actuals!$A:$A,$A182)</f>
        <v/>
      </c>
      <c r="N182" s="10">
        <f>SUM(B182:M182)</f>
        <v/>
      </c>
    </row>
    <row r="183">
      <c r="A183" s="5" t="inlineStr">
        <is>
          <t>Payroll Tax</t>
        </is>
      </c>
      <c r="B183" s="9">
        <f>SUMIFS(Actuals!$P:$P,Actuals!$A:$A,$A183)</f>
        <v/>
      </c>
      <c r="C183" s="9">
        <f>SUMIFS(Actuals!$Q:$Q,Actuals!$A:$A,$A183)</f>
        <v/>
      </c>
      <c r="D183" s="9">
        <f>SUMIFS(Actuals!$R:$R,Actuals!$A:$A,$A183)</f>
        <v/>
      </c>
      <c r="E183" s="9">
        <f>SUMIFS(Actuals!$S:$S,Actuals!$A:$A,$A183)</f>
        <v/>
      </c>
      <c r="F183" s="9">
        <f>SUMIFS(Actuals!$T:$T,Actuals!$A:$A,$A183)</f>
        <v/>
      </c>
      <c r="G183" s="9">
        <f>SUMIFS(Actuals!$U:$U,Actuals!$A:$A,$A183)</f>
        <v/>
      </c>
      <c r="H183" s="9">
        <f>SUMIFS(Actuals!$V:$V,Actuals!$A:$A,$A183)</f>
        <v/>
      </c>
      <c r="I183" s="9">
        <f>SUMIFS(Actuals!$W:$W,Actuals!$A:$A,$A183)</f>
        <v/>
      </c>
      <c r="J183" s="9">
        <f>SUMIFS(Actuals!$X:$X,Actuals!$A:$A,$A183)</f>
        <v/>
      </c>
      <c r="K183" s="9">
        <f>SUMIFS(Actuals!$Y:$Y,Actuals!$A:$A,$A183)</f>
        <v/>
      </c>
      <c r="L183" s="9">
        <f>SUMIFS(Actuals!$Z:$Z,Actuals!$A:$A,$A183)</f>
        <v/>
      </c>
      <c r="M183" s="9">
        <f>SUMIFS(Actuals!$AA:$AA,Actuals!$A:$A,$A183)</f>
        <v/>
      </c>
      <c r="N183" s="10">
        <f>SUM(B183:M183)</f>
        <v/>
      </c>
    </row>
    <row r="184">
      <c r="A184" s="5" t="inlineStr">
        <is>
          <t>Postage</t>
        </is>
      </c>
      <c r="B184" s="9">
        <f>SUMIFS(Actuals!$P:$P,Actuals!$A:$A,$A184)</f>
        <v/>
      </c>
      <c r="C184" s="9">
        <f>SUMIFS(Actuals!$Q:$Q,Actuals!$A:$A,$A184)</f>
        <v/>
      </c>
      <c r="D184" s="9">
        <f>SUMIFS(Actuals!$R:$R,Actuals!$A:$A,$A184)</f>
        <v/>
      </c>
      <c r="E184" s="9">
        <f>SUMIFS(Actuals!$S:$S,Actuals!$A:$A,$A184)</f>
        <v/>
      </c>
      <c r="F184" s="9">
        <f>SUMIFS(Actuals!$T:$T,Actuals!$A:$A,$A184)</f>
        <v/>
      </c>
      <c r="G184" s="9">
        <f>SUMIFS(Actuals!$U:$U,Actuals!$A:$A,$A184)</f>
        <v/>
      </c>
      <c r="H184" s="9">
        <f>SUMIFS(Actuals!$V:$V,Actuals!$A:$A,$A184)</f>
        <v/>
      </c>
      <c r="I184" s="9">
        <f>SUMIFS(Actuals!$W:$W,Actuals!$A:$A,$A184)</f>
        <v/>
      </c>
      <c r="J184" s="9">
        <f>SUMIFS(Actuals!$X:$X,Actuals!$A:$A,$A184)</f>
        <v/>
      </c>
      <c r="K184" s="9">
        <f>SUMIFS(Actuals!$Y:$Y,Actuals!$A:$A,$A184)</f>
        <v/>
      </c>
      <c r="L184" s="9">
        <f>SUMIFS(Actuals!$Z:$Z,Actuals!$A:$A,$A184)</f>
        <v/>
      </c>
      <c r="M184" s="9">
        <f>SUMIFS(Actuals!$AA:$AA,Actuals!$A:$A,$A184)</f>
        <v/>
      </c>
      <c r="N184" s="10">
        <f>SUM(B184:M184)</f>
        <v/>
      </c>
    </row>
    <row r="185">
      <c r="A185" s="5" t="inlineStr">
        <is>
          <t>Printing</t>
        </is>
      </c>
      <c r="B185" s="9">
        <f>SUMIFS(Actuals!$P:$P,Actuals!$A:$A,$A185)</f>
        <v/>
      </c>
      <c r="C185" s="9">
        <f>SUMIFS(Actuals!$Q:$Q,Actuals!$A:$A,$A185)</f>
        <v/>
      </c>
      <c r="D185" s="9">
        <f>SUMIFS(Actuals!$R:$R,Actuals!$A:$A,$A185)</f>
        <v/>
      </c>
      <c r="E185" s="9">
        <f>SUMIFS(Actuals!$S:$S,Actuals!$A:$A,$A185)</f>
        <v/>
      </c>
      <c r="F185" s="9">
        <f>SUMIFS(Actuals!$T:$T,Actuals!$A:$A,$A185)</f>
        <v/>
      </c>
      <c r="G185" s="9">
        <f>SUMIFS(Actuals!$U:$U,Actuals!$A:$A,$A185)</f>
        <v/>
      </c>
      <c r="H185" s="9">
        <f>SUMIFS(Actuals!$V:$V,Actuals!$A:$A,$A185)</f>
        <v/>
      </c>
      <c r="I185" s="9">
        <f>SUMIFS(Actuals!$W:$W,Actuals!$A:$A,$A185)</f>
        <v/>
      </c>
      <c r="J185" s="9">
        <f>SUMIFS(Actuals!$X:$X,Actuals!$A:$A,$A185)</f>
        <v/>
      </c>
      <c r="K185" s="9">
        <f>SUMIFS(Actuals!$Y:$Y,Actuals!$A:$A,$A185)</f>
        <v/>
      </c>
      <c r="L185" s="9">
        <f>SUMIFS(Actuals!$Z:$Z,Actuals!$A:$A,$A185)</f>
        <v/>
      </c>
      <c r="M185" s="9">
        <f>SUMIFS(Actuals!$AA:$AA,Actuals!$A:$A,$A185)</f>
        <v/>
      </c>
      <c r="N185" s="10">
        <f>SUM(B185:M185)</f>
        <v/>
      </c>
    </row>
    <row r="186">
      <c r="A186" s="5" t="inlineStr">
        <is>
          <t>Professional Indemnity</t>
        </is>
      </c>
      <c r="B186" s="9">
        <f>SUMIFS(Actuals!$P:$P,Actuals!$A:$A,$A186)</f>
        <v/>
      </c>
      <c r="C186" s="9">
        <f>SUMIFS(Actuals!$Q:$Q,Actuals!$A:$A,$A186)</f>
        <v/>
      </c>
      <c r="D186" s="9">
        <f>SUMIFS(Actuals!$R:$R,Actuals!$A:$A,$A186)</f>
        <v/>
      </c>
      <c r="E186" s="9">
        <f>SUMIFS(Actuals!$S:$S,Actuals!$A:$A,$A186)</f>
        <v/>
      </c>
      <c r="F186" s="9">
        <f>SUMIFS(Actuals!$T:$T,Actuals!$A:$A,$A186)</f>
        <v/>
      </c>
      <c r="G186" s="9">
        <f>SUMIFS(Actuals!$U:$U,Actuals!$A:$A,$A186)</f>
        <v/>
      </c>
      <c r="H186" s="9">
        <f>SUMIFS(Actuals!$V:$V,Actuals!$A:$A,$A186)</f>
        <v/>
      </c>
      <c r="I186" s="9">
        <f>SUMIFS(Actuals!$W:$W,Actuals!$A:$A,$A186)</f>
        <v/>
      </c>
      <c r="J186" s="9">
        <f>SUMIFS(Actuals!$X:$X,Actuals!$A:$A,$A186)</f>
        <v/>
      </c>
      <c r="K186" s="9">
        <f>SUMIFS(Actuals!$Y:$Y,Actuals!$A:$A,$A186)</f>
        <v/>
      </c>
      <c r="L186" s="9">
        <f>SUMIFS(Actuals!$Z:$Z,Actuals!$A:$A,$A186)</f>
        <v/>
      </c>
      <c r="M186" s="9">
        <f>SUMIFS(Actuals!$AA:$AA,Actuals!$A:$A,$A186)</f>
        <v/>
      </c>
      <c r="N186" s="10">
        <f>SUM(B186:M186)</f>
        <v/>
      </c>
    </row>
    <row r="187">
      <c r="A187" s="5" t="inlineStr">
        <is>
          <t>Realised Currency Gains</t>
        </is>
      </c>
      <c r="B187" s="9">
        <f>SUMIFS(Actuals!$P:$P,Actuals!$A:$A,$A187)</f>
        <v/>
      </c>
      <c r="C187" s="9">
        <f>SUMIFS(Actuals!$Q:$Q,Actuals!$A:$A,$A187)</f>
        <v/>
      </c>
      <c r="D187" s="9">
        <f>SUMIFS(Actuals!$R:$R,Actuals!$A:$A,$A187)</f>
        <v/>
      </c>
      <c r="E187" s="9">
        <f>SUMIFS(Actuals!$S:$S,Actuals!$A:$A,$A187)</f>
        <v/>
      </c>
      <c r="F187" s="9">
        <f>SUMIFS(Actuals!$T:$T,Actuals!$A:$A,$A187)</f>
        <v/>
      </c>
      <c r="G187" s="9">
        <f>SUMIFS(Actuals!$U:$U,Actuals!$A:$A,$A187)</f>
        <v/>
      </c>
      <c r="H187" s="9">
        <f>SUMIFS(Actuals!$V:$V,Actuals!$A:$A,$A187)</f>
        <v/>
      </c>
      <c r="I187" s="9">
        <f>SUMIFS(Actuals!$W:$W,Actuals!$A:$A,$A187)</f>
        <v/>
      </c>
      <c r="J187" s="9">
        <f>SUMIFS(Actuals!$X:$X,Actuals!$A:$A,$A187)</f>
        <v/>
      </c>
      <c r="K187" s="9">
        <f>SUMIFS(Actuals!$Y:$Y,Actuals!$A:$A,$A187)</f>
        <v/>
      </c>
      <c r="L187" s="9">
        <f>SUMIFS(Actuals!$Z:$Z,Actuals!$A:$A,$A187)</f>
        <v/>
      </c>
      <c r="M187" s="9">
        <f>SUMIFS(Actuals!$AA:$AA,Actuals!$A:$A,$A187)</f>
        <v/>
      </c>
      <c r="N187" s="10">
        <f>SUM(B187:M187)</f>
        <v/>
      </c>
    </row>
    <row r="188">
      <c r="A188" s="5" t="inlineStr">
        <is>
          <t>Recruitment</t>
        </is>
      </c>
      <c r="B188" s="9">
        <f>SUMIFS(Actuals!$P:$P,Actuals!$A:$A,$A188)</f>
        <v/>
      </c>
      <c r="C188" s="9">
        <f>SUMIFS(Actuals!$Q:$Q,Actuals!$A:$A,$A188)</f>
        <v/>
      </c>
      <c r="D188" s="9">
        <f>SUMIFS(Actuals!$R:$R,Actuals!$A:$A,$A188)</f>
        <v/>
      </c>
      <c r="E188" s="9">
        <f>SUMIFS(Actuals!$S:$S,Actuals!$A:$A,$A188)</f>
        <v/>
      </c>
      <c r="F188" s="9">
        <f>SUMIFS(Actuals!$T:$T,Actuals!$A:$A,$A188)</f>
        <v/>
      </c>
      <c r="G188" s="9">
        <f>SUMIFS(Actuals!$U:$U,Actuals!$A:$A,$A188)</f>
        <v/>
      </c>
      <c r="H188" s="9">
        <f>SUMIFS(Actuals!$V:$V,Actuals!$A:$A,$A188)</f>
        <v/>
      </c>
      <c r="I188" s="9">
        <f>SUMIFS(Actuals!$W:$W,Actuals!$A:$A,$A188)</f>
        <v/>
      </c>
      <c r="J188" s="9">
        <f>SUMIFS(Actuals!$X:$X,Actuals!$A:$A,$A188)</f>
        <v/>
      </c>
      <c r="K188" s="9">
        <f>SUMIFS(Actuals!$Y:$Y,Actuals!$A:$A,$A188)</f>
        <v/>
      </c>
      <c r="L188" s="9">
        <f>SUMIFS(Actuals!$Z:$Z,Actuals!$A:$A,$A188)</f>
        <v/>
      </c>
      <c r="M188" s="9">
        <f>SUMIFS(Actuals!$AA:$AA,Actuals!$A:$A,$A188)</f>
        <v/>
      </c>
      <c r="N188" s="10">
        <f>SUM(B188:M188)</f>
        <v/>
      </c>
    </row>
    <row r="189">
      <c r="A189" s="5" t="inlineStr">
        <is>
          <t>Rent</t>
        </is>
      </c>
      <c r="B189" s="9">
        <f>SUMIFS(Actuals!$P:$P,Actuals!$A:$A,$A189)</f>
        <v/>
      </c>
      <c r="C189" s="9">
        <f>SUMIFS(Actuals!$Q:$Q,Actuals!$A:$A,$A189)</f>
        <v/>
      </c>
      <c r="D189" s="9">
        <f>SUMIFS(Actuals!$R:$R,Actuals!$A:$A,$A189)</f>
        <v/>
      </c>
      <c r="E189" s="9">
        <f>SUMIFS(Actuals!$S:$S,Actuals!$A:$A,$A189)</f>
        <v/>
      </c>
      <c r="F189" s="9">
        <f>SUMIFS(Actuals!$T:$T,Actuals!$A:$A,$A189)</f>
        <v/>
      </c>
      <c r="G189" s="9">
        <f>SUMIFS(Actuals!$U:$U,Actuals!$A:$A,$A189)</f>
        <v/>
      </c>
      <c r="H189" s="9">
        <f>SUMIFS(Actuals!$V:$V,Actuals!$A:$A,$A189)</f>
        <v/>
      </c>
      <c r="I189" s="9">
        <f>SUMIFS(Actuals!$W:$W,Actuals!$A:$A,$A189)</f>
        <v/>
      </c>
      <c r="J189" s="9">
        <f>SUMIFS(Actuals!$X:$X,Actuals!$A:$A,$A189)</f>
        <v/>
      </c>
      <c r="K189" s="9">
        <f>SUMIFS(Actuals!$Y:$Y,Actuals!$A:$A,$A189)</f>
        <v/>
      </c>
      <c r="L189" s="9">
        <f>SUMIFS(Actuals!$Z:$Z,Actuals!$A:$A,$A189)</f>
        <v/>
      </c>
      <c r="M189" s="9">
        <f>SUMIFS(Actuals!$AA:$AA,Actuals!$A:$A,$A189)</f>
        <v/>
      </c>
      <c r="N189" s="10">
        <f>SUM(B189:M189)</f>
        <v/>
      </c>
    </row>
    <row r="190">
      <c r="A190" s="5" t="inlineStr">
        <is>
          <t>Rental Outgoings</t>
        </is>
      </c>
      <c r="B190" s="9">
        <f>SUMIFS(Actuals!$P:$P,Actuals!$A:$A,$A190)</f>
        <v/>
      </c>
      <c r="C190" s="9">
        <f>SUMIFS(Actuals!$Q:$Q,Actuals!$A:$A,$A190)</f>
        <v/>
      </c>
      <c r="D190" s="9">
        <f>SUMIFS(Actuals!$R:$R,Actuals!$A:$A,$A190)</f>
        <v/>
      </c>
      <c r="E190" s="9">
        <f>SUMIFS(Actuals!$S:$S,Actuals!$A:$A,$A190)</f>
        <v/>
      </c>
      <c r="F190" s="9">
        <f>SUMIFS(Actuals!$T:$T,Actuals!$A:$A,$A190)</f>
        <v/>
      </c>
      <c r="G190" s="9">
        <f>SUMIFS(Actuals!$U:$U,Actuals!$A:$A,$A190)</f>
        <v/>
      </c>
      <c r="H190" s="9">
        <f>SUMIFS(Actuals!$V:$V,Actuals!$A:$A,$A190)</f>
        <v/>
      </c>
      <c r="I190" s="9">
        <f>SUMIFS(Actuals!$W:$W,Actuals!$A:$A,$A190)</f>
        <v/>
      </c>
      <c r="J190" s="9">
        <f>SUMIFS(Actuals!$X:$X,Actuals!$A:$A,$A190)</f>
        <v/>
      </c>
      <c r="K190" s="9">
        <f>SUMIFS(Actuals!$Y:$Y,Actuals!$A:$A,$A190)</f>
        <v/>
      </c>
      <c r="L190" s="9">
        <f>SUMIFS(Actuals!$Z:$Z,Actuals!$A:$A,$A190)</f>
        <v/>
      </c>
      <c r="M190" s="9">
        <f>SUMIFS(Actuals!$AA:$AA,Actuals!$A:$A,$A190)</f>
        <v/>
      </c>
      <c r="N190" s="10">
        <f>SUM(B190:M190)</f>
        <v/>
      </c>
    </row>
    <row r="191">
      <c r="A191" s="5" t="inlineStr">
        <is>
          <t>Repairs &amp; Maintenance</t>
        </is>
      </c>
      <c r="B191" s="9">
        <f>SUMIFS(Actuals!$P:$P,Actuals!$A:$A,$A191)</f>
        <v/>
      </c>
      <c r="C191" s="9">
        <f>SUMIFS(Actuals!$Q:$Q,Actuals!$A:$A,$A191)</f>
        <v/>
      </c>
      <c r="D191" s="9">
        <f>SUMIFS(Actuals!$R:$R,Actuals!$A:$A,$A191)</f>
        <v/>
      </c>
      <c r="E191" s="9">
        <f>SUMIFS(Actuals!$S:$S,Actuals!$A:$A,$A191)</f>
        <v/>
      </c>
      <c r="F191" s="9">
        <f>SUMIFS(Actuals!$T:$T,Actuals!$A:$A,$A191)</f>
        <v/>
      </c>
      <c r="G191" s="9">
        <f>SUMIFS(Actuals!$U:$U,Actuals!$A:$A,$A191)</f>
        <v/>
      </c>
      <c r="H191" s="9">
        <f>SUMIFS(Actuals!$V:$V,Actuals!$A:$A,$A191)</f>
        <v/>
      </c>
      <c r="I191" s="9">
        <f>SUMIFS(Actuals!$W:$W,Actuals!$A:$A,$A191)</f>
        <v/>
      </c>
      <c r="J191" s="9">
        <f>SUMIFS(Actuals!$X:$X,Actuals!$A:$A,$A191)</f>
        <v/>
      </c>
      <c r="K191" s="9">
        <f>SUMIFS(Actuals!$Y:$Y,Actuals!$A:$A,$A191)</f>
        <v/>
      </c>
      <c r="L191" s="9">
        <f>SUMIFS(Actuals!$Z:$Z,Actuals!$A:$A,$A191)</f>
        <v/>
      </c>
      <c r="M191" s="9">
        <f>SUMIFS(Actuals!$AA:$AA,Actuals!$A:$A,$A191)</f>
        <v/>
      </c>
      <c r="N191" s="10">
        <f>SUM(B191:M191)</f>
        <v/>
      </c>
    </row>
    <row r="192">
      <c r="A192" s="5" t="inlineStr">
        <is>
          <t>Replacements</t>
        </is>
      </c>
      <c r="B192" s="9">
        <f>SUMIFS(Actuals!$P:$P,Actuals!$A:$A,$A192)</f>
        <v/>
      </c>
      <c r="C192" s="9">
        <f>SUMIFS(Actuals!$Q:$Q,Actuals!$A:$A,$A192)</f>
        <v/>
      </c>
      <c r="D192" s="9">
        <f>SUMIFS(Actuals!$R:$R,Actuals!$A:$A,$A192)</f>
        <v/>
      </c>
      <c r="E192" s="9">
        <f>SUMIFS(Actuals!$S:$S,Actuals!$A:$A,$A192)</f>
        <v/>
      </c>
      <c r="F192" s="9">
        <f>SUMIFS(Actuals!$T:$T,Actuals!$A:$A,$A192)</f>
        <v/>
      </c>
      <c r="G192" s="9">
        <f>SUMIFS(Actuals!$U:$U,Actuals!$A:$A,$A192)</f>
        <v/>
      </c>
      <c r="H192" s="9">
        <f>SUMIFS(Actuals!$V:$V,Actuals!$A:$A,$A192)</f>
        <v/>
      </c>
      <c r="I192" s="9">
        <f>SUMIFS(Actuals!$W:$W,Actuals!$A:$A,$A192)</f>
        <v/>
      </c>
      <c r="J192" s="9">
        <f>SUMIFS(Actuals!$X:$X,Actuals!$A:$A,$A192)</f>
        <v/>
      </c>
      <c r="K192" s="9">
        <f>SUMIFS(Actuals!$Y:$Y,Actuals!$A:$A,$A192)</f>
        <v/>
      </c>
      <c r="L192" s="9">
        <f>SUMIFS(Actuals!$Z:$Z,Actuals!$A:$A,$A192)</f>
        <v/>
      </c>
      <c r="M192" s="9">
        <f>SUMIFS(Actuals!$AA:$AA,Actuals!$A:$A,$A192)</f>
        <v/>
      </c>
      <c r="N192" s="10">
        <f>SUM(B192:M192)</f>
        <v/>
      </c>
    </row>
    <row r="193">
      <c r="A193" s="5" t="inlineStr">
        <is>
          <t>SGC Penalties</t>
        </is>
      </c>
      <c r="B193" s="9">
        <f>SUMIFS(Actuals!$P:$P,Actuals!$A:$A,$A193)</f>
        <v/>
      </c>
      <c r="C193" s="9">
        <f>SUMIFS(Actuals!$Q:$Q,Actuals!$A:$A,$A193)</f>
        <v/>
      </c>
      <c r="D193" s="9">
        <f>SUMIFS(Actuals!$R:$R,Actuals!$A:$A,$A193)</f>
        <v/>
      </c>
      <c r="E193" s="9">
        <f>SUMIFS(Actuals!$S:$S,Actuals!$A:$A,$A193)</f>
        <v/>
      </c>
      <c r="F193" s="9">
        <f>SUMIFS(Actuals!$T:$T,Actuals!$A:$A,$A193)</f>
        <v/>
      </c>
      <c r="G193" s="9">
        <f>SUMIFS(Actuals!$U:$U,Actuals!$A:$A,$A193)</f>
        <v/>
      </c>
      <c r="H193" s="9">
        <f>SUMIFS(Actuals!$V:$V,Actuals!$A:$A,$A193)</f>
        <v/>
      </c>
      <c r="I193" s="9">
        <f>SUMIFS(Actuals!$W:$W,Actuals!$A:$A,$A193)</f>
        <v/>
      </c>
      <c r="J193" s="9">
        <f>SUMIFS(Actuals!$X:$X,Actuals!$A:$A,$A193)</f>
        <v/>
      </c>
      <c r="K193" s="9">
        <f>SUMIFS(Actuals!$Y:$Y,Actuals!$A:$A,$A193)</f>
        <v/>
      </c>
      <c r="L193" s="9">
        <f>SUMIFS(Actuals!$Z:$Z,Actuals!$A:$A,$A193)</f>
        <v/>
      </c>
      <c r="M193" s="9">
        <f>SUMIFS(Actuals!$AA:$AA,Actuals!$A:$A,$A193)</f>
        <v/>
      </c>
      <c r="N193" s="10">
        <f>SUM(B193:M193)</f>
        <v/>
      </c>
    </row>
    <row r="194">
      <c r="A194" s="5" t="inlineStr">
        <is>
          <t>Staff Amenities</t>
        </is>
      </c>
      <c r="B194" s="9">
        <f>SUMIFS(Actuals!$P:$P,Actuals!$A:$A,$A194)</f>
        <v/>
      </c>
      <c r="C194" s="9">
        <f>SUMIFS(Actuals!$Q:$Q,Actuals!$A:$A,$A194)</f>
        <v/>
      </c>
      <c r="D194" s="9">
        <f>SUMIFS(Actuals!$R:$R,Actuals!$A:$A,$A194)</f>
        <v/>
      </c>
      <c r="E194" s="9">
        <f>SUMIFS(Actuals!$S:$S,Actuals!$A:$A,$A194)</f>
        <v/>
      </c>
      <c r="F194" s="9">
        <f>SUMIFS(Actuals!$T:$T,Actuals!$A:$A,$A194)</f>
        <v/>
      </c>
      <c r="G194" s="9">
        <f>SUMIFS(Actuals!$U:$U,Actuals!$A:$A,$A194)</f>
        <v/>
      </c>
      <c r="H194" s="9">
        <f>SUMIFS(Actuals!$V:$V,Actuals!$A:$A,$A194)</f>
        <v/>
      </c>
      <c r="I194" s="9">
        <f>SUMIFS(Actuals!$W:$W,Actuals!$A:$A,$A194)</f>
        <v/>
      </c>
      <c r="J194" s="9">
        <f>SUMIFS(Actuals!$X:$X,Actuals!$A:$A,$A194)</f>
        <v/>
      </c>
      <c r="K194" s="9">
        <f>SUMIFS(Actuals!$Y:$Y,Actuals!$A:$A,$A194)</f>
        <v/>
      </c>
      <c r="L194" s="9">
        <f>SUMIFS(Actuals!$Z:$Z,Actuals!$A:$A,$A194)</f>
        <v/>
      </c>
      <c r="M194" s="9">
        <f>SUMIFS(Actuals!$AA:$AA,Actuals!$A:$A,$A194)</f>
        <v/>
      </c>
      <c r="N194" s="10">
        <f>SUM(B194:M194)</f>
        <v/>
      </c>
    </row>
    <row r="195">
      <c r="A195" s="5" t="inlineStr">
        <is>
          <t>Staff Entertainment</t>
        </is>
      </c>
      <c r="B195" s="9">
        <f>SUMIFS(Actuals!$P:$P,Actuals!$A:$A,$A195)</f>
        <v/>
      </c>
      <c r="C195" s="9">
        <f>SUMIFS(Actuals!$Q:$Q,Actuals!$A:$A,$A195)</f>
        <v/>
      </c>
      <c r="D195" s="9">
        <f>SUMIFS(Actuals!$R:$R,Actuals!$A:$A,$A195)</f>
        <v/>
      </c>
      <c r="E195" s="9">
        <f>SUMIFS(Actuals!$S:$S,Actuals!$A:$A,$A195)</f>
        <v/>
      </c>
      <c r="F195" s="9">
        <f>SUMIFS(Actuals!$T:$T,Actuals!$A:$A,$A195)</f>
        <v/>
      </c>
      <c r="G195" s="9">
        <f>SUMIFS(Actuals!$U:$U,Actuals!$A:$A,$A195)</f>
        <v/>
      </c>
      <c r="H195" s="9">
        <f>SUMIFS(Actuals!$V:$V,Actuals!$A:$A,$A195)</f>
        <v/>
      </c>
      <c r="I195" s="9">
        <f>SUMIFS(Actuals!$W:$W,Actuals!$A:$A,$A195)</f>
        <v/>
      </c>
      <c r="J195" s="9">
        <f>SUMIFS(Actuals!$X:$X,Actuals!$A:$A,$A195)</f>
        <v/>
      </c>
      <c r="K195" s="9">
        <f>SUMIFS(Actuals!$Y:$Y,Actuals!$A:$A,$A195)</f>
        <v/>
      </c>
      <c r="L195" s="9">
        <f>SUMIFS(Actuals!$Z:$Z,Actuals!$A:$A,$A195)</f>
        <v/>
      </c>
      <c r="M195" s="9">
        <f>SUMIFS(Actuals!$AA:$AA,Actuals!$A:$A,$A195)</f>
        <v/>
      </c>
      <c r="N195" s="10">
        <f>SUM(B195:M195)</f>
        <v/>
      </c>
    </row>
    <row r="196">
      <c r="A196" s="5" t="inlineStr">
        <is>
          <t>Stamp Duty (Indirect)</t>
        </is>
      </c>
      <c r="B196" s="9">
        <f>SUMIFS(Actuals!$P:$P,Actuals!$A:$A,$A196)</f>
        <v/>
      </c>
      <c r="C196" s="9">
        <f>SUMIFS(Actuals!$Q:$Q,Actuals!$A:$A,$A196)</f>
        <v/>
      </c>
      <c r="D196" s="9">
        <f>SUMIFS(Actuals!$R:$R,Actuals!$A:$A,$A196)</f>
        <v/>
      </c>
      <c r="E196" s="9">
        <f>SUMIFS(Actuals!$S:$S,Actuals!$A:$A,$A196)</f>
        <v/>
      </c>
      <c r="F196" s="9">
        <f>SUMIFS(Actuals!$T:$T,Actuals!$A:$A,$A196)</f>
        <v/>
      </c>
      <c r="G196" s="9">
        <f>SUMIFS(Actuals!$U:$U,Actuals!$A:$A,$A196)</f>
        <v/>
      </c>
      <c r="H196" s="9">
        <f>SUMIFS(Actuals!$V:$V,Actuals!$A:$A,$A196)</f>
        <v/>
      </c>
      <c r="I196" s="9">
        <f>SUMIFS(Actuals!$W:$W,Actuals!$A:$A,$A196)</f>
        <v/>
      </c>
      <c r="J196" s="9">
        <f>SUMIFS(Actuals!$X:$X,Actuals!$A:$A,$A196)</f>
        <v/>
      </c>
      <c r="K196" s="9">
        <f>SUMIFS(Actuals!$Y:$Y,Actuals!$A:$A,$A196)</f>
        <v/>
      </c>
      <c r="L196" s="9">
        <f>SUMIFS(Actuals!$Z:$Z,Actuals!$A:$A,$A196)</f>
        <v/>
      </c>
      <c r="M196" s="9">
        <f>SUMIFS(Actuals!$AA:$AA,Actuals!$A:$A,$A196)</f>
        <v/>
      </c>
      <c r="N196" s="10">
        <f>SUM(B196:M196)</f>
        <v/>
      </c>
    </row>
    <row r="197">
      <c r="A197" s="5" t="inlineStr">
        <is>
          <t>Storage Fees</t>
        </is>
      </c>
      <c r="B197" s="9">
        <f>SUMIFS(Actuals!$P:$P,Actuals!$A:$A,$A197)</f>
        <v/>
      </c>
      <c r="C197" s="9">
        <f>SUMIFS(Actuals!$Q:$Q,Actuals!$A:$A,$A197)</f>
        <v/>
      </c>
      <c r="D197" s="9">
        <f>SUMIFS(Actuals!$R:$R,Actuals!$A:$A,$A197)</f>
        <v/>
      </c>
      <c r="E197" s="9">
        <f>SUMIFS(Actuals!$S:$S,Actuals!$A:$A,$A197)</f>
        <v/>
      </c>
      <c r="F197" s="9">
        <f>SUMIFS(Actuals!$T:$T,Actuals!$A:$A,$A197)</f>
        <v/>
      </c>
      <c r="G197" s="9">
        <f>SUMIFS(Actuals!$U:$U,Actuals!$A:$A,$A197)</f>
        <v/>
      </c>
      <c r="H197" s="9">
        <f>SUMIFS(Actuals!$V:$V,Actuals!$A:$A,$A197)</f>
        <v/>
      </c>
      <c r="I197" s="9">
        <f>SUMIFS(Actuals!$W:$W,Actuals!$A:$A,$A197)</f>
        <v/>
      </c>
      <c r="J197" s="9">
        <f>SUMIFS(Actuals!$X:$X,Actuals!$A:$A,$A197)</f>
        <v/>
      </c>
      <c r="K197" s="9">
        <f>SUMIFS(Actuals!$Y:$Y,Actuals!$A:$A,$A197)</f>
        <v/>
      </c>
      <c r="L197" s="9">
        <f>SUMIFS(Actuals!$Z:$Z,Actuals!$A:$A,$A197)</f>
        <v/>
      </c>
      <c r="M197" s="9">
        <f>SUMIFS(Actuals!$AA:$AA,Actuals!$A:$A,$A197)</f>
        <v/>
      </c>
      <c r="N197" s="10">
        <f>SUM(B197:M197)</f>
        <v/>
      </c>
    </row>
    <row r="198">
      <c r="A198" s="5" t="inlineStr">
        <is>
          <t>Stripe Fees</t>
        </is>
      </c>
      <c r="B198" s="9">
        <f>SUMIFS(Actuals!$P:$P,Actuals!$A:$A,$A198)</f>
        <v/>
      </c>
      <c r="C198" s="9">
        <f>SUMIFS(Actuals!$Q:$Q,Actuals!$A:$A,$A198)</f>
        <v/>
      </c>
      <c r="D198" s="9">
        <f>SUMIFS(Actuals!$R:$R,Actuals!$A:$A,$A198)</f>
        <v/>
      </c>
      <c r="E198" s="9">
        <f>SUMIFS(Actuals!$S:$S,Actuals!$A:$A,$A198)</f>
        <v/>
      </c>
      <c r="F198" s="9">
        <f>SUMIFS(Actuals!$T:$T,Actuals!$A:$A,$A198)</f>
        <v/>
      </c>
      <c r="G198" s="9">
        <f>SUMIFS(Actuals!$U:$U,Actuals!$A:$A,$A198)</f>
        <v/>
      </c>
      <c r="H198" s="9">
        <f>SUMIFS(Actuals!$V:$V,Actuals!$A:$A,$A198)</f>
        <v/>
      </c>
      <c r="I198" s="9">
        <f>SUMIFS(Actuals!$W:$W,Actuals!$A:$A,$A198)</f>
        <v/>
      </c>
      <c r="J198" s="9">
        <f>SUMIFS(Actuals!$X:$X,Actuals!$A:$A,$A198)</f>
        <v/>
      </c>
      <c r="K198" s="9">
        <f>SUMIFS(Actuals!$Y:$Y,Actuals!$A:$A,$A198)</f>
        <v/>
      </c>
      <c r="L198" s="9">
        <f>SUMIFS(Actuals!$Z:$Z,Actuals!$A:$A,$A198)</f>
        <v/>
      </c>
      <c r="M198" s="9">
        <f>SUMIFS(Actuals!$AA:$AA,Actuals!$A:$A,$A198)</f>
        <v/>
      </c>
      <c r="N198" s="10">
        <f>SUM(B198:M198)</f>
        <v/>
      </c>
    </row>
    <row r="199">
      <c r="A199" s="5" t="inlineStr">
        <is>
          <t>Superannuation</t>
        </is>
      </c>
      <c r="B199" s="9">
        <f>SUMIFS(Actuals!$P:$P,Actuals!$A:$A,$A199)</f>
        <v/>
      </c>
      <c r="C199" s="9">
        <f>SUMIFS(Actuals!$Q:$Q,Actuals!$A:$A,$A199)</f>
        <v/>
      </c>
      <c r="D199" s="9">
        <f>SUMIFS(Actuals!$R:$R,Actuals!$A:$A,$A199)</f>
        <v/>
      </c>
      <c r="E199" s="9">
        <f>SUMIFS(Actuals!$S:$S,Actuals!$A:$A,$A199)</f>
        <v/>
      </c>
      <c r="F199" s="9">
        <f>SUMIFS(Actuals!$T:$T,Actuals!$A:$A,$A199)</f>
        <v/>
      </c>
      <c r="G199" s="9">
        <f>SUMIFS(Actuals!$U:$U,Actuals!$A:$A,$A199)</f>
        <v/>
      </c>
      <c r="H199" s="9">
        <f>SUMIFS(Actuals!$V:$V,Actuals!$A:$A,$A199)</f>
        <v/>
      </c>
      <c r="I199" s="9">
        <f>SUMIFS(Actuals!$W:$W,Actuals!$A:$A,$A199)</f>
        <v/>
      </c>
      <c r="J199" s="9">
        <f>SUMIFS(Actuals!$X:$X,Actuals!$A:$A,$A199)</f>
        <v/>
      </c>
      <c r="K199" s="9">
        <f>SUMIFS(Actuals!$Y:$Y,Actuals!$A:$A,$A199)</f>
        <v/>
      </c>
      <c r="L199" s="9">
        <f>SUMIFS(Actuals!$Z:$Z,Actuals!$A:$A,$A199)</f>
        <v/>
      </c>
      <c r="M199" s="9">
        <f>SUMIFS(Actuals!$AA:$AA,Actuals!$A:$A,$A199)</f>
        <v/>
      </c>
      <c r="N199" s="10">
        <f>SUM(B199:M199)</f>
        <v/>
      </c>
    </row>
    <row r="200">
      <c r="A200" s="5" t="inlineStr">
        <is>
          <t>Taxis/Parking</t>
        </is>
      </c>
      <c r="B200" s="9">
        <f>SUMIFS(Actuals!$P:$P,Actuals!$A:$A,$A200)</f>
        <v/>
      </c>
      <c r="C200" s="9">
        <f>SUMIFS(Actuals!$Q:$Q,Actuals!$A:$A,$A200)</f>
        <v/>
      </c>
      <c r="D200" s="9">
        <f>SUMIFS(Actuals!$R:$R,Actuals!$A:$A,$A200)</f>
        <v/>
      </c>
      <c r="E200" s="9">
        <f>SUMIFS(Actuals!$S:$S,Actuals!$A:$A,$A200)</f>
        <v/>
      </c>
      <c r="F200" s="9">
        <f>SUMIFS(Actuals!$T:$T,Actuals!$A:$A,$A200)</f>
        <v/>
      </c>
      <c r="G200" s="9">
        <f>SUMIFS(Actuals!$U:$U,Actuals!$A:$A,$A200)</f>
        <v/>
      </c>
      <c r="H200" s="9">
        <f>SUMIFS(Actuals!$V:$V,Actuals!$A:$A,$A200)</f>
        <v/>
      </c>
      <c r="I200" s="9">
        <f>SUMIFS(Actuals!$W:$W,Actuals!$A:$A,$A200)</f>
        <v/>
      </c>
      <c r="J200" s="9">
        <f>SUMIFS(Actuals!$X:$X,Actuals!$A:$A,$A200)</f>
        <v/>
      </c>
      <c r="K200" s="9">
        <f>SUMIFS(Actuals!$Y:$Y,Actuals!$A:$A,$A200)</f>
        <v/>
      </c>
      <c r="L200" s="9">
        <f>SUMIFS(Actuals!$Z:$Z,Actuals!$A:$A,$A200)</f>
        <v/>
      </c>
      <c r="M200" s="9">
        <f>SUMIFS(Actuals!$AA:$AA,Actuals!$A:$A,$A200)</f>
        <v/>
      </c>
      <c r="N200" s="10">
        <f>SUM(B200:M200)</f>
        <v/>
      </c>
    </row>
    <row r="201">
      <c r="A201" s="5" t="inlineStr">
        <is>
          <t>Training Material &amp; Courses</t>
        </is>
      </c>
      <c r="B201" s="9">
        <f>SUMIFS(Actuals!$P:$P,Actuals!$A:$A,$A201)</f>
        <v/>
      </c>
      <c r="C201" s="9">
        <f>SUMIFS(Actuals!$Q:$Q,Actuals!$A:$A,$A201)</f>
        <v/>
      </c>
      <c r="D201" s="9">
        <f>SUMIFS(Actuals!$R:$R,Actuals!$A:$A,$A201)</f>
        <v/>
      </c>
      <c r="E201" s="9">
        <f>SUMIFS(Actuals!$S:$S,Actuals!$A:$A,$A201)</f>
        <v/>
      </c>
      <c r="F201" s="9">
        <f>SUMIFS(Actuals!$T:$T,Actuals!$A:$A,$A201)</f>
        <v/>
      </c>
      <c r="G201" s="9">
        <f>SUMIFS(Actuals!$U:$U,Actuals!$A:$A,$A201)</f>
        <v/>
      </c>
      <c r="H201" s="9">
        <f>SUMIFS(Actuals!$V:$V,Actuals!$A:$A,$A201)</f>
        <v/>
      </c>
      <c r="I201" s="9">
        <f>SUMIFS(Actuals!$W:$W,Actuals!$A:$A,$A201)</f>
        <v/>
      </c>
      <c r="J201" s="9">
        <f>SUMIFS(Actuals!$X:$X,Actuals!$A:$A,$A201)</f>
        <v/>
      </c>
      <c r="K201" s="9">
        <f>SUMIFS(Actuals!$Y:$Y,Actuals!$A:$A,$A201)</f>
        <v/>
      </c>
      <c r="L201" s="9">
        <f>SUMIFS(Actuals!$Z:$Z,Actuals!$A:$A,$A201)</f>
        <v/>
      </c>
      <c r="M201" s="9">
        <f>SUMIFS(Actuals!$AA:$AA,Actuals!$A:$A,$A201)</f>
        <v/>
      </c>
      <c r="N201" s="10">
        <f>SUM(B201:M201)</f>
        <v/>
      </c>
    </row>
    <row r="202">
      <c r="A202" s="5" t="inlineStr">
        <is>
          <t>Travel &amp; Per Diems</t>
        </is>
      </c>
      <c r="B202" s="9">
        <f>SUMIFS(Actuals!$P:$P,Actuals!$A:$A,$A202)</f>
        <v/>
      </c>
      <c r="C202" s="9">
        <f>SUMIFS(Actuals!$Q:$Q,Actuals!$A:$A,$A202)</f>
        <v/>
      </c>
      <c r="D202" s="9">
        <f>SUMIFS(Actuals!$R:$R,Actuals!$A:$A,$A202)</f>
        <v/>
      </c>
      <c r="E202" s="9">
        <f>SUMIFS(Actuals!$S:$S,Actuals!$A:$A,$A202)</f>
        <v/>
      </c>
      <c r="F202" s="9">
        <f>SUMIFS(Actuals!$T:$T,Actuals!$A:$A,$A202)</f>
        <v/>
      </c>
      <c r="G202" s="9">
        <f>SUMIFS(Actuals!$U:$U,Actuals!$A:$A,$A202)</f>
        <v/>
      </c>
      <c r="H202" s="9">
        <f>SUMIFS(Actuals!$V:$V,Actuals!$A:$A,$A202)</f>
        <v/>
      </c>
      <c r="I202" s="9">
        <f>SUMIFS(Actuals!$W:$W,Actuals!$A:$A,$A202)</f>
        <v/>
      </c>
      <c r="J202" s="9">
        <f>SUMIFS(Actuals!$X:$X,Actuals!$A:$A,$A202)</f>
        <v/>
      </c>
      <c r="K202" s="9">
        <f>SUMIFS(Actuals!$Y:$Y,Actuals!$A:$A,$A202)</f>
        <v/>
      </c>
      <c r="L202" s="9">
        <f>SUMIFS(Actuals!$Z:$Z,Actuals!$A:$A,$A202)</f>
        <v/>
      </c>
      <c r="M202" s="9">
        <f>SUMIFS(Actuals!$AA:$AA,Actuals!$A:$A,$A202)</f>
        <v/>
      </c>
      <c r="N202" s="10">
        <f>SUM(B202:M202)</f>
        <v/>
      </c>
    </row>
    <row r="203">
      <c r="A203" s="5" t="inlineStr">
        <is>
          <t>Travel Insurance</t>
        </is>
      </c>
      <c r="B203" s="9">
        <f>SUMIFS(Actuals!$P:$P,Actuals!$A:$A,$A203)</f>
        <v/>
      </c>
      <c r="C203" s="9">
        <f>SUMIFS(Actuals!$Q:$Q,Actuals!$A:$A,$A203)</f>
        <v/>
      </c>
      <c r="D203" s="9">
        <f>SUMIFS(Actuals!$R:$R,Actuals!$A:$A,$A203)</f>
        <v/>
      </c>
      <c r="E203" s="9">
        <f>SUMIFS(Actuals!$S:$S,Actuals!$A:$A,$A203)</f>
        <v/>
      </c>
      <c r="F203" s="9">
        <f>SUMIFS(Actuals!$T:$T,Actuals!$A:$A,$A203)</f>
        <v/>
      </c>
      <c r="G203" s="9">
        <f>SUMIFS(Actuals!$U:$U,Actuals!$A:$A,$A203)</f>
        <v/>
      </c>
      <c r="H203" s="9">
        <f>SUMIFS(Actuals!$V:$V,Actuals!$A:$A,$A203)</f>
        <v/>
      </c>
      <c r="I203" s="9">
        <f>SUMIFS(Actuals!$W:$W,Actuals!$A:$A,$A203)</f>
        <v/>
      </c>
      <c r="J203" s="9">
        <f>SUMIFS(Actuals!$X:$X,Actuals!$A:$A,$A203)</f>
        <v/>
      </c>
      <c r="K203" s="9">
        <f>SUMIFS(Actuals!$Y:$Y,Actuals!$A:$A,$A203)</f>
        <v/>
      </c>
      <c r="L203" s="9">
        <f>SUMIFS(Actuals!$Z:$Z,Actuals!$A:$A,$A203)</f>
        <v/>
      </c>
      <c r="M203" s="9">
        <f>SUMIFS(Actuals!$AA:$AA,Actuals!$A:$A,$A203)</f>
        <v/>
      </c>
      <c r="N203" s="10">
        <f>SUM(B203:M203)</f>
        <v/>
      </c>
    </row>
    <row r="204">
      <c r="A204" s="5" t="inlineStr">
        <is>
          <t>Under/(Over) provision for tax</t>
        </is>
      </c>
      <c r="B204" s="9">
        <f>SUMIFS(Actuals!$P:$P,Actuals!$A:$A,$A204)</f>
        <v/>
      </c>
      <c r="C204" s="9">
        <f>SUMIFS(Actuals!$Q:$Q,Actuals!$A:$A,$A204)</f>
        <v/>
      </c>
      <c r="D204" s="9">
        <f>SUMIFS(Actuals!$R:$R,Actuals!$A:$A,$A204)</f>
        <v/>
      </c>
      <c r="E204" s="9">
        <f>SUMIFS(Actuals!$S:$S,Actuals!$A:$A,$A204)</f>
        <v/>
      </c>
      <c r="F204" s="9">
        <f>SUMIFS(Actuals!$T:$T,Actuals!$A:$A,$A204)</f>
        <v/>
      </c>
      <c r="G204" s="9">
        <f>SUMIFS(Actuals!$U:$U,Actuals!$A:$A,$A204)</f>
        <v/>
      </c>
      <c r="H204" s="9">
        <f>SUMIFS(Actuals!$V:$V,Actuals!$A:$A,$A204)</f>
        <v/>
      </c>
      <c r="I204" s="9">
        <f>SUMIFS(Actuals!$W:$W,Actuals!$A:$A,$A204)</f>
        <v/>
      </c>
      <c r="J204" s="9">
        <f>SUMIFS(Actuals!$X:$X,Actuals!$A:$A,$A204)</f>
        <v/>
      </c>
      <c r="K204" s="9">
        <f>SUMIFS(Actuals!$Y:$Y,Actuals!$A:$A,$A204)</f>
        <v/>
      </c>
      <c r="L204" s="9">
        <f>SUMIFS(Actuals!$Z:$Z,Actuals!$A:$A,$A204)</f>
        <v/>
      </c>
      <c r="M204" s="9">
        <f>SUMIFS(Actuals!$AA:$AA,Actuals!$A:$A,$A204)</f>
        <v/>
      </c>
      <c r="N204" s="10">
        <f>SUM(B204:M204)</f>
        <v/>
      </c>
    </row>
    <row r="205">
      <c r="A205" s="5" t="inlineStr">
        <is>
          <t>Unrealised Currency Gains</t>
        </is>
      </c>
      <c r="B205" s="9">
        <f>SUMIFS(Actuals!$P:$P,Actuals!$A:$A,$A205)</f>
        <v/>
      </c>
      <c r="C205" s="9">
        <f>SUMIFS(Actuals!$Q:$Q,Actuals!$A:$A,$A205)</f>
        <v/>
      </c>
      <c r="D205" s="9">
        <f>SUMIFS(Actuals!$R:$R,Actuals!$A:$A,$A205)</f>
        <v/>
      </c>
      <c r="E205" s="9">
        <f>SUMIFS(Actuals!$S:$S,Actuals!$A:$A,$A205)</f>
        <v/>
      </c>
      <c r="F205" s="9">
        <f>SUMIFS(Actuals!$T:$T,Actuals!$A:$A,$A205)</f>
        <v/>
      </c>
      <c r="G205" s="9">
        <f>SUMIFS(Actuals!$U:$U,Actuals!$A:$A,$A205)</f>
        <v/>
      </c>
      <c r="H205" s="9">
        <f>SUMIFS(Actuals!$V:$V,Actuals!$A:$A,$A205)</f>
        <v/>
      </c>
      <c r="I205" s="9">
        <f>SUMIFS(Actuals!$W:$W,Actuals!$A:$A,$A205)</f>
        <v/>
      </c>
      <c r="J205" s="9">
        <f>SUMIFS(Actuals!$X:$X,Actuals!$A:$A,$A205)</f>
        <v/>
      </c>
      <c r="K205" s="9">
        <f>SUMIFS(Actuals!$Y:$Y,Actuals!$A:$A,$A205)</f>
        <v/>
      </c>
      <c r="L205" s="9">
        <f>SUMIFS(Actuals!$Z:$Z,Actuals!$A:$A,$A205)</f>
        <v/>
      </c>
      <c r="M205" s="9">
        <f>SUMIFS(Actuals!$AA:$AA,Actuals!$A:$A,$A205)</f>
        <v/>
      </c>
      <c r="N205" s="10">
        <f>SUM(B205:M205)</f>
        <v/>
      </c>
    </row>
    <row r="206">
      <c r="A206" s="5" t="inlineStr">
        <is>
          <t>Workers' Compensation</t>
        </is>
      </c>
      <c r="B206" s="9">
        <f>SUMIFS(Actuals!$P:$P,Actuals!$A:$A,$A206)</f>
        <v/>
      </c>
      <c r="C206" s="9">
        <f>SUMIFS(Actuals!$Q:$Q,Actuals!$A:$A,$A206)</f>
        <v/>
      </c>
      <c r="D206" s="9">
        <f>SUMIFS(Actuals!$R:$R,Actuals!$A:$A,$A206)</f>
        <v/>
      </c>
      <c r="E206" s="9">
        <f>SUMIFS(Actuals!$S:$S,Actuals!$A:$A,$A206)</f>
        <v/>
      </c>
      <c r="F206" s="9">
        <f>SUMIFS(Actuals!$T:$T,Actuals!$A:$A,$A206)</f>
        <v/>
      </c>
      <c r="G206" s="9">
        <f>SUMIFS(Actuals!$U:$U,Actuals!$A:$A,$A206)</f>
        <v/>
      </c>
      <c r="H206" s="9">
        <f>SUMIFS(Actuals!$V:$V,Actuals!$A:$A,$A206)</f>
        <v/>
      </c>
      <c r="I206" s="9">
        <f>SUMIFS(Actuals!$W:$W,Actuals!$A:$A,$A206)</f>
        <v/>
      </c>
      <c r="J206" s="9">
        <f>SUMIFS(Actuals!$X:$X,Actuals!$A:$A,$A206)</f>
        <v/>
      </c>
      <c r="K206" s="9">
        <f>SUMIFS(Actuals!$Y:$Y,Actuals!$A:$A,$A206)</f>
        <v/>
      </c>
      <c r="L206" s="9">
        <f>SUMIFS(Actuals!$Z:$Z,Actuals!$A:$A,$A206)</f>
        <v/>
      </c>
      <c r="M206" s="9">
        <f>SUMIFS(Actuals!$AA:$AA,Actuals!$A:$A,$A206)</f>
        <v/>
      </c>
      <c r="N206" s="10">
        <f>SUM(B206:M206)</f>
        <v/>
      </c>
    </row>
    <row r="207">
      <c r="A207" s="11" t="inlineStr">
        <is>
          <t>Total Expenses</t>
        </is>
      </c>
      <c r="B207" s="12">
        <f>SUM(B127:B206)</f>
        <v/>
      </c>
      <c r="C207" s="12">
        <f>SUM(C127:C206)</f>
        <v/>
      </c>
      <c r="D207" s="12">
        <f>SUM(D127:D206)</f>
        <v/>
      </c>
      <c r="E207" s="12">
        <f>SUM(E127:E206)</f>
        <v/>
      </c>
      <c r="F207" s="12">
        <f>SUM(F127:F206)</f>
        <v/>
      </c>
      <c r="G207" s="12">
        <f>SUM(G127:G206)</f>
        <v/>
      </c>
      <c r="H207" s="12">
        <f>SUM(H127:H206)</f>
        <v/>
      </c>
      <c r="I207" s="12">
        <f>SUM(I127:I206)</f>
        <v/>
      </c>
      <c r="J207" s="12">
        <f>SUM(J127:J206)</f>
        <v/>
      </c>
      <c r="K207" s="12">
        <f>SUM(K127:K206)</f>
        <v/>
      </c>
      <c r="L207" s="12">
        <f>SUM(L127:L206)</f>
        <v/>
      </c>
      <c r="M207" s="12">
        <f>SUM(M127:M206)</f>
        <v/>
      </c>
      <c r="N207" s="12">
        <f>SUM(B207:M207)</f>
        <v/>
      </c>
    </row>
    <row r="208"/>
    <row r="209">
      <c r="A209" s="11" t="inlineStr">
        <is>
          <t>NET PROFIT</t>
        </is>
      </c>
      <c r="B209" s="12">
        <f>B111+B124-B207</f>
        <v/>
      </c>
      <c r="C209" s="12">
        <f>C111+C124-C207</f>
        <v/>
      </c>
      <c r="D209" s="12">
        <f>D111+D124-D207</f>
        <v/>
      </c>
      <c r="E209" s="12">
        <f>E111+E124-E207</f>
        <v/>
      </c>
      <c r="F209" s="12">
        <f>F111+F124-F207</f>
        <v/>
      </c>
      <c r="G209" s="12">
        <f>G111+G124-G207</f>
        <v/>
      </c>
      <c r="H209" s="12">
        <f>H111+H124-H207</f>
        <v/>
      </c>
      <c r="I209" s="12">
        <f>I111+I124-I207</f>
        <v/>
      </c>
      <c r="J209" s="12">
        <f>J111+J124-J207</f>
        <v/>
      </c>
      <c r="K209" s="12">
        <f>K111+K124-K207</f>
        <v/>
      </c>
      <c r="L209" s="12">
        <f>L111+L124-L207</f>
        <v/>
      </c>
      <c r="M209" s="12">
        <f>M111+M124-M207</f>
        <v/>
      </c>
      <c r="N209" s="12">
        <f>SUM(B209:M209)</f>
        <v/>
      </c>
    </row>
    <row r="210">
      <c r="A210" s="11" t="inlineStr">
        <is>
          <t>Net Profit %</t>
        </is>
      </c>
      <c r="B210" s="13">
        <f>IFERROR(B209/B40,0)</f>
        <v/>
      </c>
      <c r="C210" s="13">
        <f>IFERROR(C209/C40,0)</f>
        <v/>
      </c>
      <c r="D210" s="13">
        <f>IFERROR(D209/D40,0)</f>
        <v/>
      </c>
      <c r="E210" s="13">
        <f>IFERROR(E209/E40,0)</f>
        <v/>
      </c>
      <c r="F210" s="13">
        <f>IFERROR(F209/F40,0)</f>
        <v/>
      </c>
      <c r="G210" s="13">
        <f>IFERROR(G209/G40,0)</f>
        <v/>
      </c>
      <c r="H210" s="13">
        <f>IFERROR(H209/H40,0)</f>
        <v/>
      </c>
      <c r="I210" s="13">
        <f>IFERROR(I209/I40,0)</f>
        <v/>
      </c>
      <c r="J210" s="13">
        <f>IFERROR(J209/J40,0)</f>
        <v/>
      </c>
      <c r="K210" s="13">
        <f>IFERROR(K209/K40,0)</f>
        <v/>
      </c>
      <c r="L210" s="13">
        <f>IFERROR(L209/L40,0)</f>
        <v/>
      </c>
      <c r="M210" s="13">
        <f>IFERROR(M209/M40,0)</f>
        <v/>
      </c>
      <c r="N210" s="13">
        <f>SUM(B210:M210)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Last Year: FY26 Profit &amp; Loss</t>
        </is>
      </c>
    </row>
    <row r="2">
      <c r="A2" s="2" t="inlineStr">
        <is>
          <t>Calculated from the Actuals sheet. Do not type here.</t>
        </is>
      </c>
    </row>
    <row r="3" ht="28" customHeight="1">
      <c r="A3" s="3" t="inlineStr">
        <is>
          <t>Account</t>
        </is>
      </c>
      <c r="B3" s="4" t="inlineStr">
        <is>
          <t>Jul-25</t>
        </is>
      </c>
      <c r="C3" s="4" t="inlineStr">
        <is>
          <t>Aug-25</t>
        </is>
      </c>
      <c r="D3" s="4" t="inlineStr">
        <is>
          <t>Sep-25</t>
        </is>
      </c>
      <c r="E3" s="4" t="inlineStr">
        <is>
          <t>Oct-25</t>
        </is>
      </c>
      <c r="F3" s="4" t="inlineStr">
        <is>
          <t>Nov-25</t>
        </is>
      </c>
      <c r="G3" s="4" t="inlineStr">
        <is>
          <t>Dec-25</t>
        </is>
      </c>
      <c r="H3" s="4" t="inlineStr">
        <is>
          <t>Jan-26</t>
        </is>
      </c>
      <c r="I3" s="4" t="inlineStr">
        <is>
          <t>Feb-26</t>
        </is>
      </c>
      <c r="J3" s="4" t="inlineStr">
        <is>
          <t>Mar-26</t>
        </is>
      </c>
      <c r="K3" s="4" t="inlineStr">
        <is>
          <t>Apr-26</t>
        </is>
      </c>
      <c r="L3" s="4" t="inlineStr">
        <is>
          <t>May-26</t>
        </is>
      </c>
      <c r="M3" s="4" t="inlineStr">
        <is>
          <t>Jun-26</t>
        </is>
      </c>
      <c r="N3" s="4" t="inlineStr">
        <is>
          <t>FY26 Total</t>
        </is>
      </c>
    </row>
    <row r="4">
      <c r="A4" s="7" t="inlineStr">
        <is>
          <t>INCOME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5" t="inlineStr">
        <is>
          <t>Ad Hoc Service Labour</t>
        </is>
      </c>
      <c r="B5" s="9">
        <f>SUMIFS(Actuals!$D:$D,Actuals!$A:$A,$A5)</f>
        <v/>
      </c>
      <c r="C5" s="9">
        <f>SUMIFS(Actuals!$E:$E,Actuals!$A:$A,$A5)</f>
        <v/>
      </c>
      <c r="D5" s="9">
        <f>SUMIFS(Actuals!$F:$F,Actuals!$A:$A,$A5)</f>
        <v/>
      </c>
      <c r="E5" s="9">
        <f>SUMIFS(Actuals!$G:$G,Actuals!$A:$A,$A5)</f>
        <v/>
      </c>
      <c r="F5" s="9">
        <f>SUMIFS(Actuals!$H:$H,Actuals!$A:$A,$A5)</f>
        <v/>
      </c>
      <c r="G5" s="9">
        <f>SUMIFS(Actuals!$I:$I,Actuals!$A:$A,$A5)</f>
        <v/>
      </c>
      <c r="H5" s="9">
        <f>SUMIFS(Actuals!$J:$J,Actuals!$A:$A,$A5)</f>
        <v/>
      </c>
      <c r="I5" s="9">
        <f>SUMIFS(Actuals!$K:$K,Actuals!$A:$A,$A5)</f>
        <v/>
      </c>
      <c r="J5" s="9">
        <f>SUMIFS(Actuals!$L:$L,Actuals!$A:$A,$A5)</f>
        <v/>
      </c>
      <c r="K5" s="9">
        <f>SUMIFS(Actuals!$M:$M,Actuals!$A:$A,$A5)</f>
        <v/>
      </c>
      <c r="L5" s="9">
        <f>SUMIFS(Actuals!$N:$N,Actuals!$A:$A,$A5)</f>
        <v/>
      </c>
      <c r="M5" s="9">
        <f>SUMIFS(Actuals!$O:$O,Actuals!$A:$A,$A5)</f>
        <v/>
      </c>
      <c r="N5" s="10">
        <f>SUM(B5:M5)</f>
        <v/>
      </c>
    </row>
    <row r="6">
      <c r="A6" s="5" t="inlineStr">
        <is>
          <t>Closing Work in Progress</t>
        </is>
      </c>
      <c r="B6" s="9">
        <f>SUMIFS(Actuals!$D:$D,Actuals!$A:$A,$A6)</f>
        <v/>
      </c>
      <c r="C6" s="9">
        <f>SUMIFS(Actuals!$E:$E,Actuals!$A:$A,$A6)</f>
        <v/>
      </c>
      <c r="D6" s="9">
        <f>SUMIFS(Actuals!$F:$F,Actuals!$A:$A,$A6)</f>
        <v/>
      </c>
      <c r="E6" s="9">
        <f>SUMIFS(Actuals!$G:$G,Actuals!$A:$A,$A6)</f>
        <v/>
      </c>
      <c r="F6" s="9">
        <f>SUMIFS(Actuals!$H:$H,Actuals!$A:$A,$A6)</f>
        <v/>
      </c>
      <c r="G6" s="9">
        <f>SUMIFS(Actuals!$I:$I,Actuals!$A:$A,$A6)</f>
        <v/>
      </c>
      <c r="H6" s="9">
        <f>SUMIFS(Actuals!$J:$J,Actuals!$A:$A,$A6)</f>
        <v/>
      </c>
      <c r="I6" s="9">
        <f>SUMIFS(Actuals!$K:$K,Actuals!$A:$A,$A6)</f>
        <v/>
      </c>
      <c r="J6" s="9">
        <f>SUMIFS(Actuals!$L:$L,Actuals!$A:$A,$A6)</f>
        <v/>
      </c>
      <c r="K6" s="9">
        <f>SUMIFS(Actuals!$M:$M,Actuals!$A:$A,$A6)</f>
        <v/>
      </c>
      <c r="L6" s="9">
        <f>SUMIFS(Actuals!$N:$N,Actuals!$A:$A,$A6)</f>
        <v/>
      </c>
      <c r="M6" s="9">
        <f>SUMIFS(Actuals!$O:$O,Actuals!$A:$A,$A6)</f>
        <v/>
      </c>
      <c r="N6" s="10">
        <f>SUM(B6:M6)</f>
        <v/>
      </c>
    </row>
    <row r="7">
      <c r="A7" s="5" t="inlineStr">
        <is>
          <t>Conference Call Charge</t>
        </is>
      </c>
      <c r="B7" s="9">
        <f>SUMIFS(Actuals!$D:$D,Actuals!$A:$A,$A7)</f>
        <v/>
      </c>
      <c r="C7" s="9">
        <f>SUMIFS(Actuals!$E:$E,Actuals!$A:$A,$A7)</f>
        <v/>
      </c>
      <c r="D7" s="9">
        <f>SUMIFS(Actuals!$F:$F,Actuals!$A:$A,$A7)</f>
        <v/>
      </c>
      <c r="E7" s="9">
        <f>SUMIFS(Actuals!$G:$G,Actuals!$A:$A,$A7)</f>
        <v/>
      </c>
      <c r="F7" s="9">
        <f>SUMIFS(Actuals!$H:$H,Actuals!$A:$A,$A7)</f>
        <v/>
      </c>
      <c r="G7" s="9">
        <f>SUMIFS(Actuals!$I:$I,Actuals!$A:$A,$A7)</f>
        <v/>
      </c>
      <c r="H7" s="9">
        <f>SUMIFS(Actuals!$J:$J,Actuals!$A:$A,$A7)</f>
        <v/>
      </c>
      <c r="I7" s="9">
        <f>SUMIFS(Actuals!$K:$K,Actuals!$A:$A,$A7)</f>
        <v/>
      </c>
      <c r="J7" s="9">
        <f>SUMIFS(Actuals!$L:$L,Actuals!$A:$A,$A7)</f>
        <v/>
      </c>
      <c r="K7" s="9">
        <f>SUMIFS(Actuals!$M:$M,Actuals!$A:$A,$A7)</f>
        <v/>
      </c>
      <c r="L7" s="9">
        <f>SUMIFS(Actuals!$N:$N,Actuals!$A:$A,$A7)</f>
        <v/>
      </c>
      <c r="M7" s="9">
        <f>SUMIFS(Actuals!$O:$O,Actuals!$A:$A,$A7)</f>
        <v/>
      </c>
      <c r="N7" s="10">
        <f>SUM(B7:M7)</f>
        <v/>
      </c>
    </row>
    <row r="8">
      <c r="A8" s="5" t="inlineStr">
        <is>
          <t>Contract Help Desk</t>
        </is>
      </c>
      <c r="B8" s="9">
        <f>SUMIFS(Actuals!$D:$D,Actuals!$A:$A,$A8)</f>
        <v/>
      </c>
      <c r="C8" s="9">
        <f>SUMIFS(Actuals!$E:$E,Actuals!$A:$A,$A8)</f>
        <v/>
      </c>
      <c r="D8" s="9">
        <f>SUMIFS(Actuals!$F:$F,Actuals!$A:$A,$A8)</f>
        <v/>
      </c>
      <c r="E8" s="9">
        <f>SUMIFS(Actuals!$G:$G,Actuals!$A:$A,$A8)</f>
        <v/>
      </c>
      <c r="F8" s="9">
        <f>SUMIFS(Actuals!$H:$H,Actuals!$A:$A,$A8)</f>
        <v/>
      </c>
      <c r="G8" s="9">
        <f>SUMIFS(Actuals!$I:$I,Actuals!$A:$A,$A8)</f>
        <v/>
      </c>
      <c r="H8" s="9">
        <f>SUMIFS(Actuals!$J:$J,Actuals!$A:$A,$A8)</f>
        <v/>
      </c>
      <c r="I8" s="9">
        <f>SUMIFS(Actuals!$K:$K,Actuals!$A:$A,$A8)</f>
        <v/>
      </c>
      <c r="J8" s="9">
        <f>SUMIFS(Actuals!$L:$L,Actuals!$A:$A,$A8)</f>
        <v/>
      </c>
      <c r="K8" s="9">
        <f>SUMIFS(Actuals!$M:$M,Actuals!$A:$A,$A8)</f>
        <v/>
      </c>
      <c r="L8" s="9">
        <f>SUMIFS(Actuals!$N:$N,Actuals!$A:$A,$A8)</f>
        <v/>
      </c>
      <c r="M8" s="9">
        <f>SUMIFS(Actuals!$O:$O,Actuals!$A:$A,$A8)</f>
        <v/>
      </c>
      <c r="N8" s="10">
        <f>SUM(B8:M8)</f>
        <v/>
      </c>
    </row>
    <row r="9">
      <c r="A9" s="5" t="inlineStr">
        <is>
          <t>Contract Maintenance</t>
        </is>
      </c>
      <c r="B9" s="9">
        <f>SUMIFS(Actuals!$D:$D,Actuals!$A:$A,$A9)</f>
        <v/>
      </c>
      <c r="C9" s="9">
        <f>SUMIFS(Actuals!$E:$E,Actuals!$A:$A,$A9)</f>
        <v/>
      </c>
      <c r="D9" s="9">
        <f>SUMIFS(Actuals!$F:$F,Actuals!$A:$A,$A9)</f>
        <v/>
      </c>
      <c r="E9" s="9">
        <f>SUMIFS(Actuals!$G:$G,Actuals!$A:$A,$A9)</f>
        <v/>
      </c>
      <c r="F9" s="9">
        <f>SUMIFS(Actuals!$H:$H,Actuals!$A:$A,$A9)</f>
        <v/>
      </c>
      <c r="G9" s="9">
        <f>SUMIFS(Actuals!$I:$I,Actuals!$A:$A,$A9)</f>
        <v/>
      </c>
      <c r="H9" s="9">
        <f>SUMIFS(Actuals!$J:$J,Actuals!$A:$A,$A9)</f>
        <v/>
      </c>
      <c r="I9" s="9">
        <f>SUMIFS(Actuals!$K:$K,Actuals!$A:$A,$A9)</f>
        <v/>
      </c>
      <c r="J9" s="9">
        <f>SUMIFS(Actuals!$L:$L,Actuals!$A:$A,$A9)</f>
        <v/>
      </c>
      <c r="K9" s="9">
        <f>SUMIFS(Actuals!$M:$M,Actuals!$A:$A,$A9)</f>
        <v/>
      </c>
      <c r="L9" s="9">
        <f>SUMIFS(Actuals!$N:$N,Actuals!$A:$A,$A9)</f>
        <v/>
      </c>
      <c r="M9" s="9">
        <f>SUMIFS(Actuals!$O:$O,Actuals!$A:$A,$A9)</f>
        <v/>
      </c>
      <c r="N9" s="10">
        <f>SUM(B9:M9)</f>
        <v/>
      </c>
    </row>
    <row r="10">
      <c r="A10" s="5" t="inlineStr">
        <is>
          <t>Contract Support Staff</t>
        </is>
      </c>
      <c r="B10" s="9">
        <f>SUMIFS(Actuals!$D:$D,Actuals!$A:$A,$A10)</f>
        <v/>
      </c>
      <c r="C10" s="9">
        <f>SUMIFS(Actuals!$E:$E,Actuals!$A:$A,$A10)</f>
        <v/>
      </c>
      <c r="D10" s="9">
        <f>SUMIFS(Actuals!$F:$F,Actuals!$A:$A,$A10)</f>
        <v/>
      </c>
      <c r="E10" s="9">
        <f>SUMIFS(Actuals!$G:$G,Actuals!$A:$A,$A10)</f>
        <v/>
      </c>
      <c r="F10" s="9">
        <f>SUMIFS(Actuals!$H:$H,Actuals!$A:$A,$A10)</f>
        <v/>
      </c>
      <c r="G10" s="9">
        <f>SUMIFS(Actuals!$I:$I,Actuals!$A:$A,$A10)</f>
        <v/>
      </c>
      <c r="H10" s="9">
        <f>SUMIFS(Actuals!$J:$J,Actuals!$A:$A,$A10)</f>
        <v/>
      </c>
      <c r="I10" s="9">
        <f>SUMIFS(Actuals!$K:$K,Actuals!$A:$A,$A10)</f>
        <v/>
      </c>
      <c r="J10" s="9">
        <f>SUMIFS(Actuals!$L:$L,Actuals!$A:$A,$A10)</f>
        <v/>
      </c>
      <c r="K10" s="9">
        <f>SUMIFS(Actuals!$M:$M,Actuals!$A:$A,$A10)</f>
        <v/>
      </c>
      <c r="L10" s="9">
        <f>SUMIFS(Actuals!$N:$N,Actuals!$A:$A,$A10)</f>
        <v/>
      </c>
      <c r="M10" s="9">
        <f>SUMIFS(Actuals!$O:$O,Actuals!$A:$A,$A10)</f>
        <v/>
      </c>
      <c r="N10" s="10">
        <f>SUM(B10:M10)</f>
        <v/>
      </c>
    </row>
    <row r="11">
      <c r="A11" s="5" t="inlineStr">
        <is>
          <t>Credit Card Collected - CONS</t>
        </is>
      </c>
      <c r="B11" s="9">
        <f>SUMIFS(Actuals!$D:$D,Actuals!$A:$A,$A11)</f>
        <v/>
      </c>
      <c r="C11" s="9">
        <f>SUMIFS(Actuals!$E:$E,Actuals!$A:$A,$A11)</f>
        <v/>
      </c>
      <c r="D11" s="9">
        <f>SUMIFS(Actuals!$F:$F,Actuals!$A:$A,$A11)</f>
        <v/>
      </c>
      <c r="E11" s="9">
        <f>SUMIFS(Actuals!$G:$G,Actuals!$A:$A,$A11)</f>
        <v/>
      </c>
      <c r="F11" s="9">
        <f>SUMIFS(Actuals!$H:$H,Actuals!$A:$A,$A11)</f>
        <v/>
      </c>
      <c r="G11" s="9">
        <f>SUMIFS(Actuals!$I:$I,Actuals!$A:$A,$A11)</f>
        <v/>
      </c>
      <c r="H11" s="9">
        <f>SUMIFS(Actuals!$J:$J,Actuals!$A:$A,$A11)</f>
        <v/>
      </c>
      <c r="I11" s="9">
        <f>SUMIFS(Actuals!$K:$K,Actuals!$A:$A,$A11)</f>
        <v/>
      </c>
      <c r="J11" s="9">
        <f>SUMIFS(Actuals!$L:$L,Actuals!$A:$A,$A11)</f>
        <v/>
      </c>
      <c r="K11" s="9">
        <f>SUMIFS(Actuals!$M:$M,Actuals!$A:$A,$A11)</f>
        <v/>
      </c>
      <c r="L11" s="9">
        <f>SUMIFS(Actuals!$N:$N,Actuals!$A:$A,$A11)</f>
        <v/>
      </c>
      <c r="M11" s="9">
        <f>SUMIFS(Actuals!$O:$O,Actuals!$A:$A,$A11)</f>
        <v/>
      </c>
      <c r="N11" s="10">
        <f>SUM(B11:M11)</f>
        <v/>
      </c>
    </row>
    <row r="12">
      <c r="A12" s="5" t="inlineStr">
        <is>
          <t>Credit Card Collected - ONS</t>
        </is>
      </c>
      <c r="B12" s="9">
        <f>SUMIFS(Actuals!$D:$D,Actuals!$A:$A,$A12)</f>
        <v/>
      </c>
      <c r="C12" s="9">
        <f>SUMIFS(Actuals!$E:$E,Actuals!$A:$A,$A12)</f>
        <v/>
      </c>
      <c r="D12" s="9">
        <f>SUMIFS(Actuals!$F:$F,Actuals!$A:$A,$A12)</f>
        <v/>
      </c>
      <c r="E12" s="9">
        <f>SUMIFS(Actuals!$G:$G,Actuals!$A:$A,$A12)</f>
        <v/>
      </c>
      <c r="F12" s="9">
        <f>SUMIFS(Actuals!$H:$H,Actuals!$A:$A,$A12)</f>
        <v/>
      </c>
      <c r="G12" s="9">
        <f>SUMIFS(Actuals!$I:$I,Actuals!$A:$A,$A12)</f>
        <v/>
      </c>
      <c r="H12" s="9">
        <f>SUMIFS(Actuals!$J:$J,Actuals!$A:$A,$A12)</f>
        <v/>
      </c>
      <c r="I12" s="9">
        <f>SUMIFS(Actuals!$K:$K,Actuals!$A:$A,$A12)</f>
        <v/>
      </c>
      <c r="J12" s="9">
        <f>SUMIFS(Actuals!$L:$L,Actuals!$A:$A,$A12)</f>
        <v/>
      </c>
      <c r="K12" s="9">
        <f>SUMIFS(Actuals!$M:$M,Actuals!$A:$A,$A12)</f>
        <v/>
      </c>
      <c r="L12" s="9">
        <f>SUMIFS(Actuals!$N:$N,Actuals!$A:$A,$A12)</f>
        <v/>
      </c>
      <c r="M12" s="9">
        <f>SUMIFS(Actuals!$O:$O,Actuals!$A:$A,$A12)</f>
        <v/>
      </c>
      <c r="N12" s="10">
        <f>SUM(B12:M12)</f>
        <v/>
      </c>
    </row>
    <row r="13">
      <c r="A13" s="5" t="inlineStr">
        <is>
          <t>Credit Card Collected - PRD</t>
        </is>
      </c>
      <c r="B13" s="9">
        <f>SUMIFS(Actuals!$D:$D,Actuals!$A:$A,$A13)</f>
        <v/>
      </c>
      <c r="C13" s="9">
        <f>SUMIFS(Actuals!$E:$E,Actuals!$A:$A,$A13)</f>
        <v/>
      </c>
      <c r="D13" s="9">
        <f>SUMIFS(Actuals!$F:$F,Actuals!$A:$A,$A13)</f>
        <v/>
      </c>
      <c r="E13" s="9">
        <f>SUMIFS(Actuals!$G:$G,Actuals!$A:$A,$A13)</f>
        <v/>
      </c>
      <c r="F13" s="9">
        <f>SUMIFS(Actuals!$H:$H,Actuals!$A:$A,$A13)</f>
        <v/>
      </c>
      <c r="G13" s="9">
        <f>SUMIFS(Actuals!$I:$I,Actuals!$A:$A,$A13)</f>
        <v/>
      </c>
      <c r="H13" s="9">
        <f>SUMIFS(Actuals!$J:$J,Actuals!$A:$A,$A13)</f>
        <v/>
      </c>
      <c r="I13" s="9">
        <f>SUMIFS(Actuals!$K:$K,Actuals!$A:$A,$A13)</f>
        <v/>
      </c>
      <c r="J13" s="9">
        <f>SUMIFS(Actuals!$L:$L,Actuals!$A:$A,$A13)</f>
        <v/>
      </c>
      <c r="K13" s="9">
        <f>SUMIFS(Actuals!$M:$M,Actuals!$A:$A,$A13)</f>
        <v/>
      </c>
      <c r="L13" s="9">
        <f>SUMIFS(Actuals!$N:$N,Actuals!$A:$A,$A13)</f>
        <v/>
      </c>
      <c r="M13" s="9">
        <f>SUMIFS(Actuals!$O:$O,Actuals!$A:$A,$A13)</f>
        <v/>
      </c>
      <c r="N13" s="10">
        <f>SUM(B13:M13)</f>
        <v/>
      </c>
    </row>
    <row r="14">
      <c r="A14" s="5" t="inlineStr">
        <is>
          <t>Credit Card Collected - VID</t>
        </is>
      </c>
      <c r="B14" s="9">
        <f>SUMIFS(Actuals!$D:$D,Actuals!$A:$A,$A14)</f>
        <v/>
      </c>
      <c r="C14" s="9">
        <f>SUMIFS(Actuals!$E:$E,Actuals!$A:$A,$A14)</f>
        <v/>
      </c>
      <c r="D14" s="9">
        <f>SUMIFS(Actuals!$F:$F,Actuals!$A:$A,$A14)</f>
        <v/>
      </c>
      <c r="E14" s="9">
        <f>SUMIFS(Actuals!$G:$G,Actuals!$A:$A,$A14)</f>
        <v/>
      </c>
      <c r="F14" s="9">
        <f>SUMIFS(Actuals!$H:$H,Actuals!$A:$A,$A14)</f>
        <v/>
      </c>
      <c r="G14" s="9">
        <f>SUMIFS(Actuals!$I:$I,Actuals!$A:$A,$A14)</f>
        <v/>
      </c>
      <c r="H14" s="9">
        <f>SUMIFS(Actuals!$J:$J,Actuals!$A:$A,$A14)</f>
        <v/>
      </c>
      <c r="I14" s="9">
        <f>SUMIFS(Actuals!$K:$K,Actuals!$A:$A,$A14)</f>
        <v/>
      </c>
      <c r="J14" s="9">
        <f>SUMIFS(Actuals!$L:$L,Actuals!$A:$A,$A14)</f>
        <v/>
      </c>
      <c r="K14" s="9">
        <f>SUMIFS(Actuals!$M:$M,Actuals!$A:$A,$A14)</f>
        <v/>
      </c>
      <c r="L14" s="9">
        <f>SUMIFS(Actuals!$N:$N,Actuals!$A:$A,$A14)</f>
        <v/>
      </c>
      <c r="M14" s="9">
        <f>SUMIFS(Actuals!$O:$O,Actuals!$A:$A,$A14)</f>
        <v/>
      </c>
      <c r="N14" s="10">
        <f>SUM(B14:M14)</f>
        <v/>
      </c>
    </row>
    <row r="15">
      <c r="A15" s="5" t="inlineStr">
        <is>
          <t>Credit Card Collected-INTEGRATION</t>
        </is>
      </c>
      <c r="B15" s="9">
        <f>SUMIFS(Actuals!$D:$D,Actuals!$A:$A,$A15)</f>
        <v/>
      </c>
      <c r="C15" s="9">
        <f>SUMIFS(Actuals!$E:$E,Actuals!$A:$A,$A15)</f>
        <v/>
      </c>
      <c r="D15" s="9">
        <f>SUMIFS(Actuals!$F:$F,Actuals!$A:$A,$A15)</f>
        <v/>
      </c>
      <c r="E15" s="9">
        <f>SUMIFS(Actuals!$G:$G,Actuals!$A:$A,$A15)</f>
        <v/>
      </c>
      <c r="F15" s="9">
        <f>SUMIFS(Actuals!$H:$H,Actuals!$A:$A,$A15)</f>
        <v/>
      </c>
      <c r="G15" s="9">
        <f>SUMIFS(Actuals!$I:$I,Actuals!$A:$A,$A15)</f>
        <v/>
      </c>
      <c r="H15" s="9">
        <f>SUMIFS(Actuals!$J:$J,Actuals!$A:$A,$A15)</f>
        <v/>
      </c>
      <c r="I15" s="9">
        <f>SUMIFS(Actuals!$K:$K,Actuals!$A:$A,$A15)</f>
        <v/>
      </c>
      <c r="J15" s="9">
        <f>SUMIFS(Actuals!$L:$L,Actuals!$A:$A,$A15)</f>
        <v/>
      </c>
      <c r="K15" s="9">
        <f>SUMIFS(Actuals!$M:$M,Actuals!$A:$A,$A15)</f>
        <v/>
      </c>
      <c r="L15" s="9">
        <f>SUMIFS(Actuals!$N:$N,Actuals!$A:$A,$A15)</f>
        <v/>
      </c>
      <c r="M15" s="9">
        <f>SUMIFS(Actuals!$O:$O,Actuals!$A:$A,$A15)</f>
        <v/>
      </c>
      <c r="N15" s="10">
        <f>SUM(B15:M15)</f>
        <v/>
      </c>
    </row>
    <row r="16">
      <c r="A16" s="5" t="inlineStr">
        <is>
          <t>Credit Card Fees - ADMIN</t>
        </is>
      </c>
      <c r="B16" s="9">
        <f>SUMIFS(Actuals!$D:$D,Actuals!$A:$A,$A16)</f>
        <v/>
      </c>
      <c r="C16" s="9">
        <f>SUMIFS(Actuals!$E:$E,Actuals!$A:$A,$A16)</f>
        <v/>
      </c>
      <c r="D16" s="9">
        <f>SUMIFS(Actuals!$F:$F,Actuals!$A:$A,$A16)</f>
        <v/>
      </c>
      <c r="E16" s="9">
        <f>SUMIFS(Actuals!$G:$G,Actuals!$A:$A,$A16)</f>
        <v/>
      </c>
      <c r="F16" s="9">
        <f>SUMIFS(Actuals!$H:$H,Actuals!$A:$A,$A16)</f>
        <v/>
      </c>
      <c r="G16" s="9">
        <f>SUMIFS(Actuals!$I:$I,Actuals!$A:$A,$A16)</f>
        <v/>
      </c>
      <c r="H16" s="9">
        <f>SUMIFS(Actuals!$J:$J,Actuals!$A:$A,$A16)</f>
        <v/>
      </c>
      <c r="I16" s="9">
        <f>SUMIFS(Actuals!$K:$K,Actuals!$A:$A,$A16)</f>
        <v/>
      </c>
      <c r="J16" s="9">
        <f>SUMIFS(Actuals!$L:$L,Actuals!$A:$A,$A16)</f>
        <v/>
      </c>
      <c r="K16" s="9">
        <f>SUMIFS(Actuals!$M:$M,Actuals!$A:$A,$A16)</f>
        <v/>
      </c>
      <c r="L16" s="9">
        <f>SUMIFS(Actuals!$N:$N,Actuals!$A:$A,$A16)</f>
        <v/>
      </c>
      <c r="M16" s="9">
        <f>SUMIFS(Actuals!$O:$O,Actuals!$A:$A,$A16)</f>
        <v/>
      </c>
      <c r="N16" s="10">
        <f>SUM(B16:M16)</f>
        <v/>
      </c>
    </row>
    <row r="17">
      <c r="A17" s="5" t="inlineStr">
        <is>
          <t>Equipment Hires</t>
        </is>
      </c>
      <c r="B17" s="9">
        <f>SUMIFS(Actuals!$D:$D,Actuals!$A:$A,$A17)</f>
        <v/>
      </c>
      <c r="C17" s="9">
        <f>SUMIFS(Actuals!$E:$E,Actuals!$A:$A,$A17)</f>
        <v/>
      </c>
      <c r="D17" s="9">
        <f>SUMIFS(Actuals!$F:$F,Actuals!$A:$A,$A17)</f>
        <v/>
      </c>
      <c r="E17" s="9">
        <f>SUMIFS(Actuals!$G:$G,Actuals!$A:$A,$A17)</f>
        <v/>
      </c>
      <c r="F17" s="9">
        <f>SUMIFS(Actuals!$H:$H,Actuals!$A:$A,$A17)</f>
        <v/>
      </c>
      <c r="G17" s="9">
        <f>SUMIFS(Actuals!$I:$I,Actuals!$A:$A,$A17)</f>
        <v/>
      </c>
      <c r="H17" s="9">
        <f>SUMIFS(Actuals!$J:$J,Actuals!$A:$A,$A17)</f>
        <v/>
      </c>
      <c r="I17" s="9">
        <f>SUMIFS(Actuals!$K:$K,Actuals!$A:$A,$A17)</f>
        <v/>
      </c>
      <c r="J17" s="9">
        <f>SUMIFS(Actuals!$L:$L,Actuals!$A:$A,$A17)</f>
        <v/>
      </c>
      <c r="K17" s="9">
        <f>SUMIFS(Actuals!$M:$M,Actuals!$A:$A,$A17)</f>
        <v/>
      </c>
      <c r="L17" s="9">
        <f>SUMIFS(Actuals!$N:$N,Actuals!$A:$A,$A17)</f>
        <v/>
      </c>
      <c r="M17" s="9">
        <f>SUMIFS(Actuals!$O:$O,Actuals!$A:$A,$A17)</f>
        <v/>
      </c>
      <c r="N17" s="10">
        <f>SUM(B17:M17)</f>
        <v/>
      </c>
    </row>
    <row r="18">
      <c r="A18" s="5" t="inlineStr">
        <is>
          <t>Equipment Sales</t>
        </is>
      </c>
      <c r="B18" s="9">
        <f>SUMIFS(Actuals!$D:$D,Actuals!$A:$A,$A18)</f>
        <v/>
      </c>
      <c r="C18" s="9">
        <f>SUMIFS(Actuals!$E:$E,Actuals!$A:$A,$A18)</f>
        <v/>
      </c>
      <c r="D18" s="9">
        <f>SUMIFS(Actuals!$F:$F,Actuals!$A:$A,$A18)</f>
        <v/>
      </c>
      <c r="E18" s="9">
        <f>SUMIFS(Actuals!$G:$G,Actuals!$A:$A,$A18)</f>
        <v/>
      </c>
      <c r="F18" s="9">
        <f>SUMIFS(Actuals!$H:$H,Actuals!$A:$A,$A18)</f>
        <v/>
      </c>
      <c r="G18" s="9">
        <f>SUMIFS(Actuals!$I:$I,Actuals!$A:$A,$A18)</f>
        <v/>
      </c>
      <c r="H18" s="9">
        <f>SUMIFS(Actuals!$J:$J,Actuals!$A:$A,$A18)</f>
        <v/>
      </c>
      <c r="I18" s="9">
        <f>SUMIFS(Actuals!$K:$K,Actuals!$A:$A,$A18)</f>
        <v/>
      </c>
      <c r="J18" s="9">
        <f>SUMIFS(Actuals!$L:$L,Actuals!$A:$A,$A18)</f>
        <v/>
      </c>
      <c r="K18" s="9">
        <f>SUMIFS(Actuals!$M:$M,Actuals!$A:$A,$A18)</f>
        <v/>
      </c>
      <c r="L18" s="9">
        <f>SUMIFS(Actuals!$N:$N,Actuals!$A:$A,$A18)</f>
        <v/>
      </c>
      <c r="M18" s="9">
        <f>SUMIFS(Actuals!$O:$O,Actuals!$A:$A,$A18)</f>
        <v/>
      </c>
      <c r="N18" s="10">
        <f>SUM(B18:M18)</f>
        <v/>
      </c>
    </row>
    <row r="19">
      <c r="A19" s="5" t="inlineStr">
        <is>
          <t>Freight &amp; Travel - ADMIN</t>
        </is>
      </c>
      <c r="B19" s="9">
        <f>SUMIFS(Actuals!$D:$D,Actuals!$A:$A,$A19)</f>
        <v/>
      </c>
      <c r="C19" s="9">
        <f>SUMIFS(Actuals!$E:$E,Actuals!$A:$A,$A19)</f>
        <v/>
      </c>
      <c r="D19" s="9">
        <f>SUMIFS(Actuals!$F:$F,Actuals!$A:$A,$A19)</f>
        <v/>
      </c>
      <c r="E19" s="9">
        <f>SUMIFS(Actuals!$G:$G,Actuals!$A:$A,$A19)</f>
        <v/>
      </c>
      <c r="F19" s="9">
        <f>SUMIFS(Actuals!$H:$H,Actuals!$A:$A,$A19)</f>
        <v/>
      </c>
      <c r="G19" s="9">
        <f>SUMIFS(Actuals!$I:$I,Actuals!$A:$A,$A19)</f>
        <v/>
      </c>
      <c r="H19" s="9">
        <f>SUMIFS(Actuals!$J:$J,Actuals!$A:$A,$A19)</f>
        <v/>
      </c>
      <c r="I19" s="9">
        <f>SUMIFS(Actuals!$K:$K,Actuals!$A:$A,$A19)</f>
        <v/>
      </c>
      <c r="J19" s="9">
        <f>SUMIFS(Actuals!$L:$L,Actuals!$A:$A,$A19)</f>
        <v/>
      </c>
      <c r="K19" s="9">
        <f>SUMIFS(Actuals!$M:$M,Actuals!$A:$A,$A19)</f>
        <v/>
      </c>
      <c r="L19" s="9">
        <f>SUMIFS(Actuals!$N:$N,Actuals!$A:$A,$A19)</f>
        <v/>
      </c>
      <c r="M19" s="9">
        <f>SUMIFS(Actuals!$O:$O,Actuals!$A:$A,$A19)</f>
        <v/>
      </c>
      <c r="N19" s="10">
        <f>SUM(B19:M19)</f>
        <v/>
      </c>
    </row>
    <row r="20">
      <c r="A20" s="5" t="inlineStr">
        <is>
          <t>Freight &amp; Travel - CONS</t>
        </is>
      </c>
      <c r="B20" s="9">
        <f>SUMIFS(Actuals!$D:$D,Actuals!$A:$A,$A20)</f>
        <v/>
      </c>
      <c r="C20" s="9">
        <f>SUMIFS(Actuals!$E:$E,Actuals!$A:$A,$A20)</f>
        <v/>
      </c>
      <c r="D20" s="9">
        <f>SUMIFS(Actuals!$F:$F,Actuals!$A:$A,$A20)</f>
        <v/>
      </c>
      <c r="E20" s="9">
        <f>SUMIFS(Actuals!$G:$G,Actuals!$A:$A,$A20)</f>
        <v/>
      </c>
      <c r="F20" s="9">
        <f>SUMIFS(Actuals!$H:$H,Actuals!$A:$A,$A20)</f>
        <v/>
      </c>
      <c r="G20" s="9">
        <f>SUMIFS(Actuals!$I:$I,Actuals!$A:$A,$A20)</f>
        <v/>
      </c>
      <c r="H20" s="9">
        <f>SUMIFS(Actuals!$J:$J,Actuals!$A:$A,$A20)</f>
        <v/>
      </c>
      <c r="I20" s="9">
        <f>SUMIFS(Actuals!$K:$K,Actuals!$A:$A,$A20)</f>
        <v/>
      </c>
      <c r="J20" s="9">
        <f>SUMIFS(Actuals!$L:$L,Actuals!$A:$A,$A20)</f>
        <v/>
      </c>
      <c r="K20" s="9">
        <f>SUMIFS(Actuals!$M:$M,Actuals!$A:$A,$A20)</f>
        <v/>
      </c>
      <c r="L20" s="9">
        <f>SUMIFS(Actuals!$N:$N,Actuals!$A:$A,$A20)</f>
        <v/>
      </c>
      <c r="M20" s="9">
        <f>SUMIFS(Actuals!$O:$O,Actuals!$A:$A,$A20)</f>
        <v/>
      </c>
      <c r="N20" s="10">
        <f>SUM(B20:M20)</f>
        <v/>
      </c>
    </row>
    <row r="21">
      <c r="A21" s="5" t="inlineStr">
        <is>
          <t>Freight &amp; Travel - INTEGRATION</t>
        </is>
      </c>
      <c r="B21" s="9">
        <f>SUMIFS(Actuals!$D:$D,Actuals!$A:$A,$A21)</f>
        <v/>
      </c>
      <c r="C21" s="9">
        <f>SUMIFS(Actuals!$E:$E,Actuals!$A:$A,$A21)</f>
        <v/>
      </c>
      <c r="D21" s="9">
        <f>SUMIFS(Actuals!$F:$F,Actuals!$A:$A,$A21)</f>
        <v/>
      </c>
      <c r="E21" s="9">
        <f>SUMIFS(Actuals!$G:$G,Actuals!$A:$A,$A21)</f>
        <v/>
      </c>
      <c r="F21" s="9">
        <f>SUMIFS(Actuals!$H:$H,Actuals!$A:$A,$A21)</f>
        <v/>
      </c>
      <c r="G21" s="9">
        <f>SUMIFS(Actuals!$I:$I,Actuals!$A:$A,$A21)</f>
        <v/>
      </c>
      <c r="H21" s="9">
        <f>SUMIFS(Actuals!$J:$J,Actuals!$A:$A,$A21)</f>
        <v/>
      </c>
      <c r="I21" s="9">
        <f>SUMIFS(Actuals!$K:$K,Actuals!$A:$A,$A21)</f>
        <v/>
      </c>
      <c r="J21" s="9">
        <f>SUMIFS(Actuals!$L:$L,Actuals!$A:$A,$A21)</f>
        <v/>
      </c>
      <c r="K21" s="9">
        <f>SUMIFS(Actuals!$M:$M,Actuals!$A:$A,$A21)</f>
        <v/>
      </c>
      <c r="L21" s="9">
        <f>SUMIFS(Actuals!$N:$N,Actuals!$A:$A,$A21)</f>
        <v/>
      </c>
      <c r="M21" s="9">
        <f>SUMIFS(Actuals!$O:$O,Actuals!$A:$A,$A21)</f>
        <v/>
      </c>
      <c r="N21" s="10">
        <f>SUM(B21:M21)</f>
        <v/>
      </c>
    </row>
    <row r="22">
      <c r="A22" s="5" t="inlineStr">
        <is>
          <t>Freight &amp; Travel - ONS</t>
        </is>
      </c>
      <c r="B22" s="9">
        <f>SUMIFS(Actuals!$D:$D,Actuals!$A:$A,$A22)</f>
        <v/>
      </c>
      <c r="C22" s="9">
        <f>SUMIFS(Actuals!$E:$E,Actuals!$A:$A,$A22)</f>
        <v/>
      </c>
      <c r="D22" s="9">
        <f>SUMIFS(Actuals!$F:$F,Actuals!$A:$A,$A22)</f>
        <v/>
      </c>
      <c r="E22" s="9">
        <f>SUMIFS(Actuals!$G:$G,Actuals!$A:$A,$A22)</f>
        <v/>
      </c>
      <c r="F22" s="9">
        <f>SUMIFS(Actuals!$H:$H,Actuals!$A:$A,$A22)</f>
        <v/>
      </c>
      <c r="G22" s="9">
        <f>SUMIFS(Actuals!$I:$I,Actuals!$A:$A,$A22)</f>
        <v/>
      </c>
      <c r="H22" s="9">
        <f>SUMIFS(Actuals!$J:$J,Actuals!$A:$A,$A22)</f>
        <v/>
      </c>
      <c r="I22" s="9">
        <f>SUMIFS(Actuals!$K:$K,Actuals!$A:$A,$A22)</f>
        <v/>
      </c>
      <c r="J22" s="9">
        <f>SUMIFS(Actuals!$L:$L,Actuals!$A:$A,$A22)</f>
        <v/>
      </c>
      <c r="K22" s="9">
        <f>SUMIFS(Actuals!$M:$M,Actuals!$A:$A,$A22)</f>
        <v/>
      </c>
      <c r="L22" s="9">
        <f>SUMIFS(Actuals!$N:$N,Actuals!$A:$A,$A22)</f>
        <v/>
      </c>
      <c r="M22" s="9">
        <f>SUMIFS(Actuals!$O:$O,Actuals!$A:$A,$A22)</f>
        <v/>
      </c>
      <c r="N22" s="10">
        <f>SUM(B22:M22)</f>
        <v/>
      </c>
    </row>
    <row r="23">
      <c r="A23" s="5" t="inlineStr">
        <is>
          <t>Freight &amp; Travel - PRD</t>
        </is>
      </c>
      <c r="B23" s="9">
        <f>SUMIFS(Actuals!$D:$D,Actuals!$A:$A,$A23)</f>
        <v/>
      </c>
      <c r="C23" s="9">
        <f>SUMIFS(Actuals!$E:$E,Actuals!$A:$A,$A23)</f>
        <v/>
      </c>
      <c r="D23" s="9">
        <f>SUMIFS(Actuals!$F:$F,Actuals!$A:$A,$A23)</f>
        <v/>
      </c>
      <c r="E23" s="9">
        <f>SUMIFS(Actuals!$G:$G,Actuals!$A:$A,$A23)</f>
        <v/>
      </c>
      <c r="F23" s="9">
        <f>SUMIFS(Actuals!$H:$H,Actuals!$A:$A,$A23)</f>
        <v/>
      </c>
      <c r="G23" s="9">
        <f>SUMIFS(Actuals!$I:$I,Actuals!$A:$A,$A23)</f>
        <v/>
      </c>
      <c r="H23" s="9">
        <f>SUMIFS(Actuals!$J:$J,Actuals!$A:$A,$A23)</f>
        <v/>
      </c>
      <c r="I23" s="9">
        <f>SUMIFS(Actuals!$K:$K,Actuals!$A:$A,$A23)</f>
        <v/>
      </c>
      <c r="J23" s="9">
        <f>SUMIFS(Actuals!$L:$L,Actuals!$A:$A,$A23)</f>
        <v/>
      </c>
      <c r="K23" s="9">
        <f>SUMIFS(Actuals!$M:$M,Actuals!$A:$A,$A23)</f>
        <v/>
      </c>
      <c r="L23" s="9">
        <f>SUMIFS(Actuals!$N:$N,Actuals!$A:$A,$A23)</f>
        <v/>
      </c>
      <c r="M23" s="9">
        <f>SUMIFS(Actuals!$O:$O,Actuals!$A:$A,$A23)</f>
        <v/>
      </c>
      <c r="N23" s="10">
        <f>SUM(B23:M23)</f>
        <v/>
      </c>
    </row>
    <row r="24">
      <c r="A24" s="5" t="inlineStr">
        <is>
          <t>Freight &amp; Travel - VID</t>
        </is>
      </c>
      <c r="B24" s="9">
        <f>SUMIFS(Actuals!$D:$D,Actuals!$A:$A,$A24)</f>
        <v/>
      </c>
      <c r="C24" s="9">
        <f>SUMIFS(Actuals!$E:$E,Actuals!$A:$A,$A24)</f>
        <v/>
      </c>
      <c r="D24" s="9">
        <f>SUMIFS(Actuals!$F:$F,Actuals!$A:$A,$A24)</f>
        <v/>
      </c>
      <c r="E24" s="9">
        <f>SUMIFS(Actuals!$G:$G,Actuals!$A:$A,$A24)</f>
        <v/>
      </c>
      <c r="F24" s="9">
        <f>SUMIFS(Actuals!$H:$H,Actuals!$A:$A,$A24)</f>
        <v/>
      </c>
      <c r="G24" s="9">
        <f>SUMIFS(Actuals!$I:$I,Actuals!$A:$A,$A24)</f>
        <v/>
      </c>
      <c r="H24" s="9">
        <f>SUMIFS(Actuals!$J:$J,Actuals!$A:$A,$A24)</f>
        <v/>
      </c>
      <c r="I24" s="9">
        <f>SUMIFS(Actuals!$K:$K,Actuals!$A:$A,$A24)</f>
        <v/>
      </c>
      <c r="J24" s="9">
        <f>SUMIFS(Actuals!$L:$L,Actuals!$A:$A,$A24)</f>
        <v/>
      </c>
      <c r="K24" s="9">
        <f>SUMIFS(Actuals!$M:$M,Actuals!$A:$A,$A24)</f>
        <v/>
      </c>
      <c r="L24" s="9">
        <f>SUMIFS(Actuals!$N:$N,Actuals!$A:$A,$A24)</f>
        <v/>
      </c>
      <c r="M24" s="9">
        <f>SUMIFS(Actuals!$O:$O,Actuals!$A:$A,$A24)</f>
        <v/>
      </c>
      <c r="N24" s="10">
        <f>SUM(B24:M24)</f>
        <v/>
      </c>
    </row>
    <row r="25">
      <c r="A25" s="5" t="inlineStr">
        <is>
          <t>Installation Labour</t>
        </is>
      </c>
      <c r="B25" s="9">
        <f>SUMIFS(Actuals!$D:$D,Actuals!$A:$A,$A25)</f>
        <v/>
      </c>
      <c r="C25" s="9">
        <f>SUMIFS(Actuals!$E:$E,Actuals!$A:$A,$A25)</f>
        <v/>
      </c>
      <c r="D25" s="9">
        <f>SUMIFS(Actuals!$F:$F,Actuals!$A:$A,$A25)</f>
        <v/>
      </c>
      <c r="E25" s="9">
        <f>SUMIFS(Actuals!$G:$G,Actuals!$A:$A,$A25)</f>
        <v/>
      </c>
      <c r="F25" s="9">
        <f>SUMIFS(Actuals!$H:$H,Actuals!$A:$A,$A25)</f>
        <v/>
      </c>
      <c r="G25" s="9">
        <f>SUMIFS(Actuals!$I:$I,Actuals!$A:$A,$A25)</f>
        <v/>
      </c>
      <c r="H25" s="9">
        <f>SUMIFS(Actuals!$J:$J,Actuals!$A:$A,$A25)</f>
        <v/>
      </c>
      <c r="I25" s="9">
        <f>SUMIFS(Actuals!$K:$K,Actuals!$A:$A,$A25)</f>
        <v/>
      </c>
      <c r="J25" s="9">
        <f>SUMIFS(Actuals!$L:$L,Actuals!$A:$A,$A25)</f>
        <v/>
      </c>
      <c r="K25" s="9">
        <f>SUMIFS(Actuals!$M:$M,Actuals!$A:$A,$A25)</f>
        <v/>
      </c>
      <c r="L25" s="9">
        <f>SUMIFS(Actuals!$N:$N,Actuals!$A:$A,$A25)</f>
        <v/>
      </c>
      <c r="M25" s="9">
        <f>SUMIFS(Actuals!$O:$O,Actuals!$A:$A,$A25)</f>
        <v/>
      </c>
      <c r="N25" s="10">
        <f>SUM(B25:M25)</f>
        <v/>
      </c>
    </row>
    <row r="26">
      <c r="A26" s="5" t="inlineStr">
        <is>
          <t>Meal &amp; Travel - ADMIN</t>
        </is>
      </c>
      <c r="B26" s="9">
        <f>SUMIFS(Actuals!$D:$D,Actuals!$A:$A,$A26)</f>
        <v/>
      </c>
      <c r="C26" s="9">
        <f>SUMIFS(Actuals!$E:$E,Actuals!$A:$A,$A26)</f>
        <v/>
      </c>
      <c r="D26" s="9">
        <f>SUMIFS(Actuals!$F:$F,Actuals!$A:$A,$A26)</f>
        <v/>
      </c>
      <c r="E26" s="9">
        <f>SUMIFS(Actuals!$G:$G,Actuals!$A:$A,$A26)</f>
        <v/>
      </c>
      <c r="F26" s="9">
        <f>SUMIFS(Actuals!$H:$H,Actuals!$A:$A,$A26)</f>
        <v/>
      </c>
      <c r="G26" s="9">
        <f>SUMIFS(Actuals!$I:$I,Actuals!$A:$A,$A26)</f>
        <v/>
      </c>
      <c r="H26" s="9">
        <f>SUMIFS(Actuals!$J:$J,Actuals!$A:$A,$A26)</f>
        <v/>
      </c>
      <c r="I26" s="9">
        <f>SUMIFS(Actuals!$K:$K,Actuals!$A:$A,$A26)</f>
        <v/>
      </c>
      <c r="J26" s="9">
        <f>SUMIFS(Actuals!$L:$L,Actuals!$A:$A,$A26)</f>
        <v/>
      </c>
      <c r="K26" s="9">
        <f>SUMIFS(Actuals!$M:$M,Actuals!$A:$A,$A26)</f>
        <v/>
      </c>
      <c r="L26" s="9">
        <f>SUMIFS(Actuals!$N:$N,Actuals!$A:$A,$A26)</f>
        <v/>
      </c>
      <c r="M26" s="9">
        <f>SUMIFS(Actuals!$O:$O,Actuals!$A:$A,$A26)</f>
        <v/>
      </c>
      <c r="N26" s="10">
        <f>SUM(B26:M26)</f>
        <v/>
      </c>
    </row>
    <row r="27">
      <c r="A27" s="5" t="inlineStr">
        <is>
          <t>Meal &amp; Travel - CONS</t>
        </is>
      </c>
      <c r="B27" s="9">
        <f>SUMIFS(Actuals!$D:$D,Actuals!$A:$A,$A27)</f>
        <v/>
      </c>
      <c r="C27" s="9">
        <f>SUMIFS(Actuals!$E:$E,Actuals!$A:$A,$A27)</f>
        <v/>
      </c>
      <c r="D27" s="9">
        <f>SUMIFS(Actuals!$F:$F,Actuals!$A:$A,$A27)</f>
        <v/>
      </c>
      <c r="E27" s="9">
        <f>SUMIFS(Actuals!$G:$G,Actuals!$A:$A,$A27)</f>
        <v/>
      </c>
      <c r="F27" s="9">
        <f>SUMIFS(Actuals!$H:$H,Actuals!$A:$A,$A27)</f>
        <v/>
      </c>
      <c r="G27" s="9">
        <f>SUMIFS(Actuals!$I:$I,Actuals!$A:$A,$A27)</f>
        <v/>
      </c>
      <c r="H27" s="9">
        <f>SUMIFS(Actuals!$J:$J,Actuals!$A:$A,$A27)</f>
        <v/>
      </c>
      <c r="I27" s="9">
        <f>SUMIFS(Actuals!$K:$K,Actuals!$A:$A,$A27)</f>
        <v/>
      </c>
      <c r="J27" s="9">
        <f>SUMIFS(Actuals!$L:$L,Actuals!$A:$A,$A27)</f>
        <v/>
      </c>
      <c r="K27" s="9">
        <f>SUMIFS(Actuals!$M:$M,Actuals!$A:$A,$A27)</f>
        <v/>
      </c>
      <c r="L27" s="9">
        <f>SUMIFS(Actuals!$N:$N,Actuals!$A:$A,$A27)</f>
        <v/>
      </c>
      <c r="M27" s="9">
        <f>SUMIFS(Actuals!$O:$O,Actuals!$A:$A,$A27)</f>
        <v/>
      </c>
      <c r="N27" s="10">
        <f>SUM(B27:M27)</f>
        <v/>
      </c>
    </row>
    <row r="28">
      <c r="A28" s="5" t="inlineStr">
        <is>
          <t>Meal &amp; Travel - INTEGRATION</t>
        </is>
      </c>
      <c r="B28" s="9">
        <f>SUMIFS(Actuals!$D:$D,Actuals!$A:$A,$A28)</f>
        <v/>
      </c>
      <c r="C28" s="9">
        <f>SUMIFS(Actuals!$E:$E,Actuals!$A:$A,$A28)</f>
        <v/>
      </c>
      <c r="D28" s="9">
        <f>SUMIFS(Actuals!$F:$F,Actuals!$A:$A,$A28)</f>
        <v/>
      </c>
      <c r="E28" s="9">
        <f>SUMIFS(Actuals!$G:$G,Actuals!$A:$A,$A28)</f>
        <v/>
      </c>
      <c r="F28" s="9">
        <f>SUMIFS(Actuals!$H:$H,Actuals!$A:$A,$A28)</f>
        <v/>
      </c>
      <c r="G28" s="9">
        <f>SUMIFS(Actuals!$I:$I,Actuals!$A:$A,$A28)</f>
        <v/>
      </c>
      <c r="H28" s="9">
        <f>SUMIFS(Actuals!$J:$J,Actuals!$A:$A,$A28)</f>
        <v/>
      </c>
      <c r="I28" s="9">
        <f>SUMIFS(Actuals!$K:$K,Actuals!$A:$A,$A28)</f>
        <v/>
      </c>
      <c r="J28" s="9">
        <f>SUMIFS(Actuals!$L:$L,Actuals!$A:$A,$A28)</f>
        <v/>
      </c>
      <c r="K28" s="9">
        <f>SUMIFS(Actuals!$M:$M,Actuals!$A:$A,$A28)</f>
        <v/>
      </c>
      <c r="L28" s="9">
        <f>SUMIFS(Actuals!$N:$N,Actuals!$A:$A,$A28)</f>
        <v/>
      </c>
      <c r="M28" s="9">
        <f>SUMIFS(Actuals!$O:$O,Actuals!$A:$A,$A28)</f>
        <v/>
      </c>
      <c r="N28" s="10">
        <f>SUM(B28:M28)</f>
        <v/>
      </c>
    </row>
    <row r="29">
      <c r="A29" s="5" t="inlineStr">
        <is>
          <t>Meal &amp; Travel - ONS</t>
        </is>
      </c>
      <c r="B29" s="9">
        <f>SUMIFS(Actuals!$D:$D,Actuals!$A:$A,$A29)</f>
        <v/>
      </c>
      <c r="C29" s="9">
        <f>SUMIFS(Actuals!$E:$E,Actuals!$A:$A,$A29)</f>
        <v/>
      </c>
      <c r="D29" s="9">
        <f>SUMIFS(Actuals!$F:$F,Actuals!$A:$A,$A29)</f>
        <v/>
      </c>
      <c r="E29" s="9">
        <f>SUMIFS(Actuals!$G:$G,Actuals!$A:$A,$A29)</f>
        <v/>
      </c>
      <c r="F29" s="9">
        <f>SUMIFS(Actuals!$H:$H,Actuals!$A:$A,$A29)</f>
        <v/>
      </c>
      <c r="G29" s="9">
        <f>SUMIFS(Actuals!$I:$I,Actuals!$A:$A,$A29)</f>
        <v/>
      </c>
      <c r="H29" s="9">
        <f>SUMIFS(Actuals!$J:$J,Actuals!$A:$A,$A29)</f>
        <v/>
      </c>
      <c r="I29" s="9">
        <f>SUMIFS(Actuals!$K:$K,Actuals!$A:$A,$A29)</f>
        <v/>
      </c>
      <c r="J29" s="9">
        <f>SUMIFS(Actuals!$L:$L,Actuals!$A:$A,$A29)</f>
        <v/>
      </c>
      <c r="K29" s="9">
        <f>SUMIFS(Actuals!$M:$M,Actuals!$A:$A,$A29)</f>
        <v/>
      </c>
      <c r="L29" s="9">
        <f>SUMIFS(Actuals!$N:$N,Actuals!$A:$A,$A29)</f>
        <v/>
      </c>
      <c r="M29" s="9">
        <f>SUMIFS(Actuals!$O:$O,Actuals!$A:$A,$A29)</f>
        <v/>
      </c>
      <c r="N29" s="10">
        <f>SUM(B29:M29)</f>
        <v/>
      </c>
    </row>
    <row r="30">
      <c r="A30" s="5" t="inlineStr">
        <is>
          <t>Meal &amp; Travel - PRD</t>
        </is>
      </c>
      <c r="B30" s="9">
        <f>SUMIFS(Actuals!$D:$D,Actuals!$A:$A,$A30)</f>
        <v/>
      </c>
      <c r="C30" s="9">
        <f>SUMIFS(Actuals!$E:$E,Actuals!$A:$A,$A30)</f>
        <v/>
      </c>
      <c r="D30" s="9">
        <f>SUMIFS(Actuals!$F:$F,Actuals!$A:$A,$A30)</f>
        <v/>
      </c>
      <c r="E30" s="9">
        <f>SUMIFS(Actuals!$G:$G,Actuals!$A:$A,$A30)</f>
        <v/>
      </c>
      <c r="F30" s="9">
        <f>SUMIFS(Actuals!$H:$H,Actuals!$A:$A,$A30)</f>
        <v/>
      </c>
      <c r="G30" s="9">
        <f>SUMIFS(Actuals!$I:$I,Actuals!$A:$A,$A30)</f>
        <v/>
      </c>
      <c r="H30" s="9">
        <f>SUMIFS(Actuals!$J:$J,Actuals!$A:$A,$A30)</f>
        <v/>
      </c>
      <c r="I30" s="9">
        <f>SUMIFS(Actuals!$K:$K,Actuals!$A:$A,$A30)</f>
        <v/>
      </c>
      <c r="J30" s="9">
        <f>SUMIFS(Actuals!$L:$L,Actuals!$A:$A,$A30)</f>
        <v/>
      </c>
      <c r="K30" s="9">
        <f>SUMIFS(Actuals!$M:$M,Actuals!$A:$A,$A30)</f>
        <v/>
      </c>
      <c r="L30" s="9">
        <f>SUMIFS(Actuals!$N:$N,Actuals!$A:$A,$A30)</f>
        <v/>
      </c>
      <c r="M30" s="9">
        <f>SUMIFS(Actuals!$O:$O,Actuals!$A:$A,$A30)</f>
        <v/>
      </c>
      <c r="N30" s="10">
        <f>SUM(B30:M30)</f>
        <v/>
      </c>
    </row>
    <row r="31">
      <c r="A31" s="5" t="inlineStr">
        <is>
          <t>Meal &amp; Travel - VID</t>
        </is>
      </c>
      <c r="B31" s="9">
        <f>SUMIFS(Actuals!$D:$D,Actuals!$A:$A,$A31)</f>
        <v/>
      </c>
      <c r="C31" s="9">
        <f>SUMIFS(Actuals!$E:$E,Actuals!$A:$A,$A31)</f>
        <v/>
      </c>
      <c r="D31" s="9">
        <f>SUMIFS(Actuals!$F:$F,Actuals!$A:$A,$A31)</f>
        <v/>
      </c>
      <c r="E31" s="9">
        <f>SUMIFS(Actuals!$G:$G,Actuals!$A:$A,$A31)</f>
        <v/>
      </c>
      <c r="F31" s="9">
        <f>SUMIFS(Actuals!$H:$H,Actuals!$A:$A,$A31)</f>
        <v/>
      </c>
      <c r="G31" s="9">
        <f>SUMIFS(Actuals!$I:$I,Actuals!$A:$A,$A31)</f>
        <v/>
      </c>
      <c r="H31" s="9">
        <f>SUMIFS(Actuals!$J:$J,Actuals!$A:$A,$A31)</f>
        <v/>
      </c>
      <c r="I31" s="9">
        <f>SUMIFS(Actuals!$K:$K,Actuals!$A:$A,$A31)</f>
        <v/>
      </c>
      <c r="J31" s="9">
        <f>SUMIFS(Actuals!$L:$L,Actuals!$A:$A,$A31)</f>
        <v/>
      </c>
      <c r="K31" s="9">
        <f>SUMIFS(Actuals!$M:$M,Actuals!$A:$A,$A31)</f>
        <v/>
      </c>
      <c r="L31" s="9">
        <f>SUMIFS(Actuals!$N:$N,Actuals!$A:$A,$A31)</f>
        <v/>
      </c>
      <c r="M31" s="9">
        <f>SUMIFS(Actuals!$O:$O,Actuals!$A:$A,$A31)</f>
        <v/>
      </c>
      <c r="N31" s="10">
        <f>SUM(B31:M31)</f>
        <v/>
      </c>
    </row>
    <row r="32">
      <c r="A32" s="5" t="inlineStr">
        <is>
          <t>Miscellaneous Income</t>
        </is>
      </c>
      <c r="B32" s="9">
        <f>SUMIFS(Actuals!$D:$D,Actuals!$A:$A,$A32)</f>
        <v/>
      </c>
      <c r="C32" s="9">
        <f>SUMIFS(Actuals!$E:$E,Actuals!$A:$A,$A32)</f>
        <v/>
      </c>
      <c r="D32" s="9">
        <f>SUMIFS(Actuals!$F:$F,Actuals!$A:$A,$A32)</f>
        <v/>
      </c>
      <c r="E32" s="9">
        <f>SUMIFS(Actuals!$G:$G,Actuals!$A:$A,$A32)</f>
        <v/>
      </c>
      <c r="F32" s="9">
        <f>SUMIFS(Actuals!$H:$H,Actuals!$A:$A,$A32)</f>
        <v/>
      </c>
      <c r="G32" s="9">
        <f>SUMIFS(Actuals!$I:$I,Actuals!$A:$A,$A32)</f>
        <v/>
      </c>
      <c r="H32" s="9">
        <f>SUMIFS(Actuals!$J:$J,Actuals!$A:$A,$A32)</f>
        <v/>
      </c>
      <c r="I32" s="9">
        <f>SUMIFS(Actuals!$K:$K,Actuals!$A:$A,$A32)</f>
        <v/>
      </c>
      <c r="J32" s="9">
        <f>SUMIFS(Actuals!$L:$L,Actuals!$A:$A,$A32)</f>
        <v/>
      </c>
      <c r="K32" s="9">
        <f>SUMIFS(Actuals!$M:$M,Actuals!$A:$A,$A32)</f>
        <v/>
      </c>
      <c r="L32" s="9">
        <f>SUMIFS(Actuals!$N:$N,Actuals!$A:$A,$A32)</f>
        <v/>
      </c>
      <c r="M32" s="9">
        <f>SUMIFS(Actuals!$O:$O,Actuals!$A:$A,$A32)</f>
        <v/>
      </c>
      <c r="N32" s="10">
        <f>SUM(B32:M32)</f>
        <v/>
      </c>
    </row>
    <row r="33">
      <c r="A33" s="5" t="inlineStr">
        <is>
          <t>Mobile Phone Plans</t>
        </is>
      </c>
      <c r="B33" s="9">
        <f>SUMIFS(Actuals!$D:$D,Actuals!$A:$A,$A33)</f>
        <v/>
      </c>
      <c r="C33" s="9">
        <f>SUMIFS(Actuals!$E:$E,Actuals!$A:$A,$A33)</f>
        <v/>
      </c>
      <c r="D33" s="9">
        <f>SUMIFS(Actuals!$F:$F,Actuals!$A:$A,$A33)</f>
        <v/>
      </c>
      <c r="E33" s="9">
        <f>SUMIFS(Actuals!$G:$G,Actuals!$A:$A,$A33)</f>
        <v/>
      </c>
      <c r="F33" s="9">
        <f>SUMIFS(Actuals!$H:$H,Actuals!$A:$A,$A33)</f>
        <v/>
      </c>
      <c r="G33" s="9">
        <f>SUMIFS(Actuals!$I:$I,Actuals!$A:$A,$A33)</f>
        <v/>
      </c>
      <c r="H33" s="9">
        <f>SUMIFS(Actuals!$J:$J,Actuals!$A:$A,$A33)</f>
        <v/>
      </c>
      <c r="I33" s="9">
        <f>SUMIFS(Actuals!$K:$K,Actuals!$A:$A,$A33)</f>
        <v/>
      </c>
      <c r="J33" s="9">
        <f>SUMIFS(Actuals!$L:$L,Actuals!$A:$A,$A33)</f>
        <v/>
      </c>
      <c r="K33" s="9">
        <f>SUMIFS(Actuals!$M:$M,Actuals!$A:$A,$A33)</f>
        <v/>
      </c>
      <c r="L33" s="9">
        <f>SUMIFS(Actuals!$N:$N,Actuals!$A:$A,$A33)</f>
        <v/>
      </c>
      <c r="M33" s="9">
        <f>SUMIFS(Actuals!$O:$O,Actuals!$A:$A,$A33)</f>
        <v/>
      </c>
      <c r="N33" s="10">
        <f>SUM(B33:M33)</f>
        <v/>
      </c>
    </row>
    <row r="34">
      <c r="A34" s="5" t="inlineStr">
        <is>
          <t>Opening Work in Progress</t>
        </is>
      </c>
      <c r="B34" s="9">
        <f>SUMIFS(Actuals!$D:$D,Actuals!$A:$A,$A34)</f>
        <v/>
      </c>
      <c r="C34" s="9">
        <f>SUMIFS(Actuals!$E:$E,Actuals!$A:$A,$A34)</f>
        <v/>
      </c>
      <c r="D34" s="9">
        <f>SUMIFS(Actuals!$F:$F,Actuals!$A:$A,$A34)</f>
        <v/>
      </c>
      <c r="E34" s="9">
        <f>SUMIFS(Actuals!$G:$G,Actuals!$A:$A,$A34)</f>
        <v/>
      </c>
      <c r="F34" s="9">
        <f>SUMIFS(Actuals!$H:$H,Actuals!$A:$A,$A34)</f>
        <v/>
      </c>
      <c r="G34" s="9">
        <f>SUMIFS(Actuals!$I:$I,Actuals!$A:$A,$A34)</f>
        <v/>
      </c>
      <c r="H34" s="9">
        <f>SUMIFS(Actuals!$J:$J,Actuals!$A:$A,$A34)</f>
        <v/>
      </c>
      <c r="I34" s="9">
        <f>SUMIFS(Actuals!$K:$K,Actuals!$A:$A,$A34)</f>
        <v/>
      </c>
      <c r="J34" s="9">
        <f>SUMIFS(Actuals!$L:$L,Actuals!$A:$A,$A34)</f>
        <v/>
      </c>
      <c r="K34" s="9">
        <f>SUMIFS(Actuals!$M:$M,Actuals!$A:$A,$A34)</f>
        <v/>
      </c>
      <c r="L34" s="9">
        <f>SUMIFS(Actuals!$N:$N,Actuals!$A:$A,$A34)</f>
        <v/>
      </c>
      <c r="M34" s="9">
        <f>SUMIFS(Actuals!$O:$O,Actuals!$A:$A,$A34)</f>
        <v/>
      </c>
      <c r="N34" s="10">
        <f>SUM(B34:M34)</f>
        <v/>
      </c>
    </row>
    <row r="35">
      <c r="A35" s="5" t="inlineStr">
        <is>
          <t>Production Labour</t>
        </is>
      </c>
      <c r="B35" s="9">
        <f>SUMIFS(Actuals!$D:$D,Actuals!$A:$A,$A35)</f>
        <v/>
      </c>
      <c r="C35" s="9">
        <f>SUMIFS(Actuals!$E:$E,Actuals!$A:$A,$A35)</f>
        <v/>
      </c>
      <c r="D35" s="9">
        <f>SUMIFS(Actuals!$F:$F,Actuals!$A:$A,$A35)</f>
        <v/>
      </c>
      <c r="E35" s="9">
        <f>SUMIFS(Actuals!$G:$G,Actuals!$A:$A,$A35)</f>
        <v/>
      </c>
      <c r="F35" s="9">
        <f>SUMIFS(Actuals!$H:$H,Actuals!$A:$A,$A35)</f>
        <v/>
      </c>
      <c r="G35" s="9">
        <f>SUMIFS(Actuals!$I:$I,Actuals!$A:$A,$A35)</f>
        <v/>
      </c>
      <c r="H35" s="9">
        <f>SUMIFS(Actuals!$J:$J,Actuals!$A:$A,$A35)</f>
        <v/>
      </c>
      <c r="I35" s="9">
        <f>SUMIFS(Actuals!$K:$K,Actuals!$A:$A,$A35)</f>
        <v/>
      </c>
      <c r="J35" s="9">
        <f>SUMIFS(Actuals!$L:$L,Actuals!$A:$A,$A35)</f>
        <v/>
      </c>
      <c r="K35" s="9">
        <f>SUMIFS(Actuals!$M:$M,Actuals!$A:$A,$A35)</f>
        <v/>
      </c>
      <c r="L35" s="9">
        <f>SUMIFS(Actuals!$N:$N,Actuals!$A:$A,$A35)</f>
        <v/>
      </c>
      <c r="M35" s="9">
        <f>SUMIFS(Actuals!$O:$O,Actuals!$A:$A,$A35)</f>
        <v/>
      </c>
      <c r="N35" s="10">
        <f>SUM(B35:M35)</f>
        <v/>
      </c>
    </row>
    <row r="36">
      <c r="A36" s="5" t="inlineStr">
        <is>
          <t>Subscriptions &amp; Licences - Income</t>
        </is>
      </c>
      <c r="B36" s="9">
        <f>SUMIFS(Actuals!$D:$D,Actuals!$A:$A,$A36)</f>
        <v/>
      </c>
      <c r="C36" s="9">
        <f>SUMIFS(Actuals!$E:$E,Actuals!$A:$A,$A36)</f>
        <v/>
      </c>
      <c r="D36" s="9">
        <f>SUMIFS(Actuals!$F:$F,Actuals!$A:$A,$A36)</f>
        <v/>
      </c>
      <c r="E36" s="9">
        <f>SUMIFS(Actuals!$G:$G,Actuals!$A:$A,$A36)</f>
        <v/>
      </c>
      <c r="F36" s="9">
        <f>SUMIFS(Actuals!$H:$H,Actuals!$A:$A,$A36)</f>
        <v/>
      </c>
      <c r="G36" s="9">
        <f>SUMIFS(Actuals!$I:$I,Actuals!$A:$A,$A36)</f>
        <v/>
      </c>
      <c r="H36" s="9">
        <f>SUMIFS(Actuals!$J:$J,Actuals!$A:$A,$A36)</f>
        <v/>
      </c>
      <c r="I36" s="9">
        <f>SUMIFS(Actuals!$K:$K,Actuals!$A:$A,$A36)</f>
        <v/>
      </c>
      <c r="J36" s="9">
        <f>SUMIFS(Actuals!$L:$L,Actuals!$A:$A,$A36)</f>
        <v/>
      </c>
      <c r="K36" s="9">
        <f>SUMIFS(Actuals!$M:$M,Actuals!$A:$A,$A36)</f>
        <v/>
      </c>
      <c r="L36" s="9">
        <f>SUMIFS(Actuals!$N:$N,Actuals!$A:$A,$A36)</f>
        <v/>
      </c>
      <c r="M36" s="9">
        <f>SUMIFS(Actuals!$O:$O,Actuals!$A:$A,$A36)</f>
        <v/>
      </c>
      <c r="N36" s="10">
        <f>SUM(B36:M36)</f>
        <v/>
      </c>
    </row>
    <row r="37">
      <c r="A37" s="5" t="inlineStr">
        <is>
          <t>Tech Consulting/Project Manage</t>
        </is>
      </c>
      <c r="B37" s="9">
        <f>SUMIFS(Actuals!$D:$D,Actuals!$A:$A,$A37)</f>
        <v/>
      </c>
      <c r="C37" s="9">
        <f>SUMIFS(Actuals!$E:$E,Actuals!$A:$A,$A37)</f>
        <v/>
      </c>
      <c r="D37" s="9">
        <f>SUMIFS(Actuals!$F:$F,Actuals!$A:$A,$A37)</f>
        <v/>
      </c>
      <c r="E37" s="9">
        <f>SUMIFS(Actuals!$G:$G,Actuals!$A:$A,$A37)</f>
        <v/>
      </c>
      <c r="F37" s="9">
        <f>SUMIFS(Actuals!$H:$H,Actuals!$A:$A,$A37)</f>
        <v/>
      </c>
      <c r="G37" s="9">
        <f>SUMIFS(Actuals!$I:$I,Actuals!$A:$A,$A37)</f>
        <v/>
      </c>
      <c r="H37" s="9">
        <f>SUMIFS(Actuals!$J:$J,Actuals!$A:$A,$A37)</f>
        <v/>
      </c>
      <c r="I37" s="9">
        <f>SUMIFS(Actuals!$K:$K,Actuals!$A:$A,$A37)</f>
        <v/>
      </c>
      <c r="J37" s="9">
        <f>SUMIFS(Actuals!$L:$L,Actuals!$A:$A,$A37)</f>
        <v/>
      </c>
      <c r="K37" s="9">
        <f>SUMIFS(Actuals!$M:$M,Actuals!$A:$A,$A37)</f>
        <v/>
      </c>
      <c r="L37" s="9">
        <f>SUMIFS(Actuals!$N:$N,Actuals!$A:$A,$A37)</f>
        <v/>
      </c>
      <c r="M37" s="9">
        <f>SUMIFS(Actuals!$O:$O,Actuals!$A:$A,$A37)</f>
        <v/>
      </c>
      <c r="N37" s="10">
        <f>SUM(B37:M37)</f>
        <v/>
      </c>
    </row>
    <row r="38">
      <c r="A38" s="5" t="inlineStr">
        <is>
          <t>Tech Event Management</t>
        </is>
      </c>
      <c r="B38" s="9">
        <f>SUMIFS(Actuals!$D:$D,Actuals!$A:$A,$A38)</f>
        <v/>
      </c>
      <c r="C38" s="9">
        <f>SUMIFS(Actuals!$E:$E,Actuals!$A:$A,$A38)</f>
        <v/>
      </c>
      <c r="D38" s="9">
        <f>SUMIFS(Actuals!$F:$F,Actuals!$A:$A,$A38)</f>
        <v/>
      </c>
      <c r="E38" s="9">
        <f>SUMIFS(Actuals!$G:$G,Actuals!$A:$A,$A38)</f>
        <v/>
      </c>
      <c r="F38" s="9">
        <f>SUMIFS(Actuals!$H:$H,Actuals!$A:$A,$A38)</f>
        <v/>
      </c>
      <c r="G38" s="9">
        <f>SUMIFS(Actuals!$I:$I,Actuals!$A:$A,$A38)</f>
        <v/>
      </c>
      <c r="H38" s="9">
        <f>SUMIFS(Actuals!$J:$J,Actuals!$A:$A,$A38)</f>
        <v/>
      </c>
      <c r="I38" s="9">
        <f>SUMIFS(Actuals!$K:$K,Actuals!$A:$A,$A38)</f>
        <v/>
      </c>
      <c r="J38" s="9">
        <f>SUMIFS(Actuals!$L:$L,Actuals!$A:$A,$A38)</f>
        <v/>
      </c>
      <c r="K38" s="9">
        <f>SUMIFS(Actuals!$M:$M,Actuals!$A:$A,$A38)</f>
        <v/>
      </c>
      <c r="L38" s="9">
        <f>SUMIFS(Actuals!$N:$N,Actuals!$A:$A,$A38)</f>
        <v/>
      </c>
      <c r="M38" s="9">
        <f>SUMIFS(Actuals!$O:$O,Actuals!$A:$A,$A38)</f>
        <v/>
      </c>
      <c r="N38" s="10">
        <f>SUM(B38:M38)</f>
        <v/>
      </c>
    </row>
    <row r="39">
      <c r="A39" s="5" t="inlineStr">
        <is>
          <t>Video Labour</t>
        </is>
      </c>
      <c r="B39" s="9">
        <f>SUMIFS(Actuals!$D:$D,Actuals!$A:$A,$A39)</f>
        <v/>
      </c>
      <c r="C39" s="9">
        <f>SUMIFS(Actuals!$E:$E,Actuals!$A:$A,$A39)</f>
        <v/>
      </c>
      <c r="D39" s="9">
        <f>SUMIFS(Actuals!$F:$F,Actuals!$A:$A,$A39)</f>
        <v/>
      </c>
      <c r="E39" s="9">
        <f>SUMIFS(Actuals!$G:$G,Actuals!$A:$A,$A39)</f>
        <v/>
      </c>
      <c r="F39" s="9">
        <f>SUMIFS(Actuals!$H:$H,Actuals!$A:$A,$A39)</f>
        <v/>
      </c>
      <c r="G39" s="9">
        <f>SUMIFS(Actuals!$I:$I,Actuals!$A:$A,$A39)</f>
        <v/>
      </c>
      <c r="H39" s="9">
        <f>SUMIFS(Actuals!$J:$J,Actuals!$A:$A,$A39)</f>
        <v/>
      </c>
      <c r="I39" s="9">
        <f>SUMIFS(Actuals!$K:$K,Actuals!$A:$A,$A39)</f>
        <v/>
      </c>
      <c r="J39" s="9">
        <f>SUMIFS(Actuals!$L:$L,Actuals!$A:$A,$A39)</f>
        <v/>
      </c>
      <c r="K39" s="9">
        <f>SUMIFS(Actuals!$M:$M,Actuals!$A:$A,$A39)</f>
        <v/>
      </c>
      <c r="L39" s="9">
        <f>SUMIFS(Actuals!$N:$N,Actuals!$A:$A,$A39)</f>
        <v/>
      </c>
      <c r="M39" s="9">
        <f>SUMIFS(Actuals!$O:$O,Actuals!$A:$A,$A39)</f>
        <v/>
      </c>
      <c r="N39" s="10">
        <f>SUM(B39:M39)</f>
        <v/>
      </c>
    </row>
    <row r="40">
      <c r="A40" s="11" t="inlineStr">
        <is>
          <t>Total Income</t>
        </is>
      </c>
      <c r="B40" s="12">
        <f>SUM(B5:B39)</f>
        <v/>
      </c>
      <c r="C40" s="12">
        <f>SUM(C5:C39)</f>
        <v/>
      </c>
      <c r="D40" s="12">
        <f>SUM(D5:D39)</f>
        <v/>
      </c>
      <c r="E40" s="12">
        <f>SUM(E5:E39)</f>
        <v/>
      </c>
      <c r="F40" s="12">
        <f>SUM(F5:F39)</f>
        <v/>
      </c>
      <c r="G40" s="12">
        <f>SUM(G5:G39)</f>
        <v/>
      </c>
      <c r="H40" s="12">
        <f>SUM(H5:H39)</f>
        <v/>
      </c>
      <c r="I40" s="12">
        <f>SUM(I5:I39)</f>
        <v/>
      </c>
      <c r="J40" s="12">
        <f>SUM(J5:J39)</f>
        <v/>
      </c>
      <c r="K40" s="12">
        <f>SUM(K5:K39)</f>
        <v/>
      </c>
      <c r="L40" s="12">
        <f>SUM(L5:L39)</f>
        <v/>
      </c>
      <c r="M40" s="12">
        <f>SUM(M5:M39)</f>
        <v/>
      </c>
      <c r="N40" s="12">
        <f>SUM(B40:M40)</f>
        <v/>
      </c>
    </row>
    <row r="42">
      <c r="A42" s="7" t="inlineStr">
        <is>
          <t>COST OF SALES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5" t="inlineStr">
        <is>
          <t>Credit Card Paid - ADMIN</t>
        </is>
      </c>
      <c r="B43" s="9">
        <f>SUMIFS(Actuals!$D:$D,Actuals!$A:$A,$A43)</f>
        <v/>
      </c>
      <c r="C43" s="9">
        <f>SUMIFS(Actuals!$E:$E,Actuals!$A:$A,$A43)</f>
        <v/>
      </c>
      <c r="D43" s="9">
        <f>SUMIFS(Actuals!$F:$F,Actuals!$A:$A,$A43)</f>
        <v/>
      </c>
      <c r="E43" s="9">
        <f>SUMIFS(Actuals!$G:$G,Actuals!$A:$A,$A43)</f>
        <v/>
      </c>
      <c r="F43" s="9">
        <f>SUMIFS(Actuals!$H:$H,Actuals!$A:$A,$A43)</f>
        <v/>
      </c>
      <c r="G43" s="9">
        <f>SUMIFS(Actuals!$I:$I,Actuals!$A:$A,$A43)</f>
        <v/>
      </c>
      <c r="H43" s="9">
        <f>SUMIFS(Actuals!$J:$J,Actuals!$A:$A,$A43)</f>
        <v/>
      </c>
      <c r="I43" s="9">
        <f>SUMIFS(Actuals!$K:$K,Actuals!$A:$A,$A43)</f>
        <v/>
      </c>
      <c r="J43" s="9">
        <f>SUMIFS(Actuals!$L:$L,Actuals!$A:$A,$A43)</f>
        <v/>
      </c>
      <c r="K43" s="9">
        <f>SUMIFS(Actuals!$M:$M,Actuals!$A:$A,$A43)</f>
        <v/>
      </c>
      <c r="L43" s="9">
        <f>SUMIFS(Actuals!$N:$N,Actuals!$A:$A,$A43)</f>
        <v/>
      </c>
      <c r="M43" s="9">
        <f>SUMIFS(Actuals!$O:$O,Actuals!$A:$A,$A43)</f>
        <v/>
      </c>
      <c r="N43" s="10">
        <f>SUM(B43:M43)</f>
        <v/>
      </c>
    </row>
    <row r="44">
      <c r="A44" s="5" t="inlineStr">
        <is>
          <t>Credit Card Paid - CONS</t>
        </is>
      </c>
      <c r="B44" s="9">
        <f>SUMIFS(Actuals!$D:$D,Actuals!$A:$A,$A44)</f>
        <v/>
      </c>
      <c r="C44" s="9">
        <f>SUMIFS(Actuals!$E:$E,Actuals!$A:$A,$A44)</f>
        <v/>
      </c>
      <c r="D44" s="9">
        <f>SUMIFS(Actuals!$F:$F,Actuals!$A:$A,$A44)</f>
        <v/>
      </c>
      <c r="E44" s="9">
        <f>SUMIFS(Actuals!$G:$G,Actuals!$A:$A,$A44)</f>
        <v/>
      </c>
      <c r="F44" s="9">
        <f>SUMIFS(Actuals!$H:$H,Actuals!$A:$A,$A44)</f>
        <v/>
      </c>
      <c r="G44" s="9">
        <f>SUMIFS(Actuals!$I:$I,Actuals!$A:$A,$A44)</f>
        <v/>
      </c>
      <c r="H44" s="9">
        <f>SUMIFS(Actuals!$J:$J,Actuals!$A:$A,$A44)</f>
        <v/>
      </c>
      <c r="I44" s="9">
        <f>SUMIFS(Actuals!$K:$K,Actuals!$A:$A,$A44)</f>
        <v/>
      </c>
      <c r="J44" s="9">
        <f>SUMIFS(Actuals!$L:$L,Actuals!$A:$A,$A44)</f>
        <v/>
      </c>
      <c r="K44" s="9">
        <f>SUMIFS(Actuals!$M:$M,Actuals!$A:$A,$A44)</f>
        <v/>
      </c>
      <c r="L44" s="9">
        <f>SUMIFS(Actuals!$N:$N,Actuals!$A:$A,$A44)</f>
        <v/>
      </c>
      <c r="M44" s="9">
        <f>SUMIFS(Actuals!$O:$O,Actuals!$A:$A,$A44)</f>
        <v/>
      </c>
      <c r="N44" s="10">
        <f>SUM(B44:M44)</f>
        <v/>
      </c>
    </row>
    <row r="45">
      <c r="A45" s="5" t="inlineStr">
        <is>
          <t>Credit Card Paid - INTEGRATION</t>
        </is>
      </c>
      <c r="B45" s="9">
        <f>SUMIFS(Actuals!$D:$D,Actuals!$A:$A,$A45)</f>
        <v/>
      </c>
      <c r="C45" s="9">
        <f>SUMIFS(Actuals!$E:$E,Actuals!$A:$A,$A45)</f>
        <v/>
      </c>
      <c r="D45" s="9">
        <f>SUMIFS(Actuals!$F:$F,Actuals!$A:$A,$A45)</f>
        <v/>
      </c>
      <c r="E45" s="9">
        <f>SUMIFS(Actuals!$G:$G,Actuals!$A:$A,$A45)</f>
        <v/>
      </c>
      <c r="F45" s="9">
        <f>SUMIFS(Actuals!$H:$H,Actuals!$A:$A,$A45)</f>
        <v/>
      </c>
      <c r="G45" s="9">
        <f>SUMIFS(Actuals!$I:$I,Actuals!$A:$A,$A45)</f>
        <v/>
      </c>
      <c r="H45" s="9">
        <f>SUMIFS(Actuals!$J:$J,Actuals!$A:$A,$A45)</f>
        <v/>
      </c>
      <c r="I45" s="9">
        <f>SUMIFS(Actuals!$K:$K,Actuals!$A:$A,$A45)</f>
        <v/>
      </c>
      <c r="J45" s="9">
        <f>SUMIFS(Actuals!$L:$L,Actuals!$A:$A,$A45)</f>
        <v/>
      </c>
      <c r="K45" s="9">
        <f>SUMIFS(Actuals!$M:$M,Actuals!$A:$A,$A45)</f>
        <v/>
      </c>
      <c r="L45" s="9">
        <f>SUMIFS(Actuals!$N:$N,Actuals!$A:$A,$A45)</f>
        <v/>
      </c>
      <c r="M45" s="9">
        <f>SUMIFS(Actuals!$O:$O,Actuals!$A:$A,$A45)</f>
        <v/>
      </c>
      <c r="N45" s="10">
        <f>SUM(B45:M45)</f>
        <v/>
      </c>
    </row>
    <row r="46">
      <c r="A46" s="5" t="inlineStr">
        <is>
          <t>Credit Card Paid - ONS</t>
        </is>
      </c>
      <c r="B46" s="9">
        <f>SUMIFS(Actuals!$D:$D,Actuals!$A:$A,$A46)</f>
        <v/>
      </c>
      <c r="C46" s="9">
        <f>SUMIFS(Actuals!$E:$E,Actuals!$A:$A,$A46)</f>
        <v/>
      </c>
      <c r="D46" s="9">
        <f>SUMIFS(Actuals!$F:$F,Actuals!$A:$A,$A46)</f>
        <v/>
      </c>
      <c r="E46" s="9">
        <f>SUMIFS(Actuals!$G:$G,Actuals!$A:$A,$A46)</f>
        <v/>
      </c>
      <c r="F46" s="9">
        <f>SUMIFS(Actuals!$H:$H,Actuals!$A:$A,$A46)</f>
        <v/>
      </c>
      <c r="G46" s="9">
        <f>SUMIFS(Actuals!$I:$I,Actuals!$A:$A,$A46)</f>
        <v/>
      </c>
      <c r="H46" s="9">
        <f>SUMIFS(Actuals!$J:$J,Actuals!$A:$A,$A46)</f>
        <v/>
      </c>
      <c r="I46" s="9">
        <f>SUMIFS(Actuals!$K:$K,Actuals!$A:$A,$A46)</f>
        <v/>
      </c>
      <c r="J46" s="9">
        <f>SUMIFS(Actuals!$L:$L,Actuals!$A:$A,$A46)</f>
        <v/>
      </c>
      <c r="K46" s="9">
        <f>SUMIFS(Actuals!$M:$M,Actuals!$A:$A,$A46)</f>
        <v/>
      </c>
      <c r="L46" s="9">
        <f>SUMIFS(Actuals!$N:$N,Actuals!$A:$A,$A46)</f>
        <v/>
      </c>
      <c r="M46" s="9">
        <f>SUMIFS(Actuals!$O:$O,Actuals!$A:$A,$A46)</f>
        <v/>
      </c>
      <c r="N46" s="10">
        <f>SUM(B46:M46)</f>
        <v/>
      </c>
    </row>
    <row r="47">
      <c r="A47" s="5" t="inlineStr">
        <is>
          <t>Credit Card Paid - PRD</t>
        </is>
      </c>
      <c r="B47" s="9">
        <f>SUMIFS(Actuals!$D:$D,Actuals!$A:$A,$A47)</f>
        <v/>
      </c>
      <c r="C47" s="9">
        <f>SUMIFS(Actuals!$E:$E,Actuals!$A:$A,$A47)</f>
        <v/>
      </c>
      <c r="D47" s="9">
        <f>SUMIFS(Actuals!$F:$F,Actuals!$A:$A,$A47)</f>
        <v/>
      </c>
      <c r="E47" s="9">
        <f>SUMIFS(Actuals!$G:$G,Actuals!$A:$A,$A47)</f>
        <v/>
      </c>
      <c r="F47" s="9">
        <f>SUMIFS(Actuals!$H:$H,Actuals!$A:$A,$A47)</f>
        <v/>
      </c>
      <c r="G47" s="9">
        <f>SUMIFS(Actuals!$I:$I,Actuals!$A:$A,$A47)</f>
        <v/>
      </c>
      <c r="H47" s="9">
        <f>SUMIFS(Actuals!$J:$J,Actuals!$A:$A,$A47)</f>
        <v/>
      </c>
      <c r="I47" s="9">
        <f>SUMIFS(Actuals!$K:$K,Actuals!$A:$A,$A47)</f>
        <v/>
      </c>
      <c r="J47" s="9">
        <f>SUMIFS(Actuals!$L:$L,Actuals!$A:$A,$A47)</f>
        <v/>
      </c>
      <c r="K47" s="9">
        <f>SUMIFS(Actuals!$M:$M,Actuals!$A:$A,$A47)</f>
        <v/>
      </c>
      <c r="L47" s="9">
        <f>SUMIFS(Actuals!$N:$N,Actuals!$A:$A,$A47)</f>
        <v/>
      </c>
      <c r="M47" s="9">
        <f>SUMIFS(Actuals!$O:$O,Actuals!$A:$A,$A47)</f>
        <v/>
      </c>
      <c r="N47" s="10">
        <f>SUM(B47:M47)</f>
        <v/>
      </c>
    </row>
    <row r="48">
      <c r="A48" s="5" t="inlineStr">
        <is>
          <t>Credit Card Paid - VID</t>
        </is>
      </c>
      <c r="B48" s="9">
        <f>SUMIFS(Actuals!$D:$D,Actuals!$A:$A,$A48)</f>
        <v/>
      </c>
      <c r="C48" s="9">
        <f>SUMIFS(Actuals!$E:$E,Actuals!$A:$A,$A48)</f>
        <v/>
      </c>
      <c r="D48" s="9">
        <f>SUMIFS(Actuals!$F:$F,Actuals!$A:$A,$A48)</f>
        <v/>
      </c>
      <c r="E48" s="9">
        <f>SUMIFS(Actuals!$G:$G,Actuals!$A:$A,$A48)</f>
        <v/>
      </c>
      <c r="F48" s="9">
        <f>SUMIFS(Actuals!$H:$H,Actuals!$A:$A,$A48)</f>
        <v/>
      </c>
      <c r="G48" s="9">
        <f>SUMIFS(Actuals!$I:$I,Actuals!$A:$A,$A48)</f>
        <v/>
      </c>
      <c r="H48" s="9">
        <f>SUMIFS(Actuals!$J:$J,Actuals!$A:$A,$A48)</f>
        <v/>
      </c>
      <c r="I48" s="9">
        <f>SUMIFS(Actuals!$K:$K,Actuals!$A:$A,$A48)</f>
        <v/>
      </c>
      <c r="J48" s="9">
        <f>SUMIFS(Actuals!$L:$L,Actuals!$A:$A,$A48)</f>
        <v/>
      </c>
      <c r="K48" s="9">
        <f>SUMIFS(Actuals!$M:$M,Actuals!$A:$A,$A48)</f>
        <v/>
      </c>
      <c r="L48" s="9">
        <f>SUMIFS(Actuals!$N:$N,Actuals!$A:$A,$A48)</f>
        <v/>
      </c>
      <c r="M48" s="9">
        <f>SUMIFS(Actuals!$O:$O,Actuals!$A:$A,$A48)</f>
        <v/>
      </c>
      <c r="N48" s="10">
        <f>SUM(B48:M48)</f>
        <v/>
      </c>
    </row>
    <row r="49">
      <c r="A49" s="5" t="inlineStr">
        <is>
          <t>Damage Waiver</t>
        </is>
      </c>
      <c r="B49" s="9">
        <f>SUMIFS(Actuals!$D:$D,Actuals!$A:$A,$A49)</f>
        <v/>
      </c>
      <c r="C49" s="9">
        <f>SUMIFS(Actuals!$E:$E,Actuals!$A:$A,$A49)</f>
        <v/>
      </c>
      <c r="D49" s="9">
        <f>SUMIFS(Actuals!$F:$F,Actuals!$A:$A,$A49)</f>
        <v/>
      </c>
      <c r="E49" s="9">
        <f>SUMIFS(Actuals!$G:$G,Actuals!$A:$A,$A49)</f>
        <v/>
      </c>
      <c r="F49" s="9">
        <f>SUMIFS(Actuals!$H:$H,Actuals!$A:$A,$A49)</f>
        <v/>
      </c>
      <c r="G49" s="9">
        <f>SUMIFS(Actuals!$I:$I,Actuals!$A:$A,$A49)</f>
        <v/>
      </c>
      <c r="H49" s="9">
        <f>SUMIFS(Actuals!$J:$J,Actuals!$A:$A,$A49)</f>
        <v/>
      </c>
      <c r="I49" s="9">
        <f>SUMIFS(Actuals!$K:$K,Actuals!$A:$A,$A49)</f>
        <v/>
      </c>
      <c r="J49" s="9">
        <f>SUMIFS(Actuals!$L:$L,Actuals!$A:$A,$A49)</f>
        <v/>
      </c>
      <c r="K49" s="9">
        <f>SUMIFS(Actuals!$M:$M,Actuals!$A:$A,$A49)</f>
        <v/>
      </c>
      <c r="L49" s="9">
        <f>SUMIFS(Actuals!$N:$N,Actuals!$A:$A,$A49)</f>
        <v/>
      </c>
      <c r="M49" s="9">
        <f>SUMIFS(Actuals!$O:$O,Actuals!$A:$A,$A49)</f>
        <v/>
      </c>
      <c r="N49" s="10">
        <f>SUM(B49:M49)</f>
        <v/>
      </c>
    </row>
    <row r="50">
      <c r="A50" s="5" t="inlineStr">
        <is>
          <t>Direct Freight - ADMIN</t>
        </is>
      </c>
      <c r="B50" s="9">
        <f>SUMIFS(Actuals!$D:$D,Actuals!$A:$A,$A50)</f>
        <v/>
      </c>
      <c r="C50" s="9">
        <f>SUMIFS(Actuals!$E:$E,Actuals!$A:$A,$A50)</f>
        <v/>
      </c>
      <c r="D50" s="9">
        <f>SUMIFS(Actuals!$F:$F,Actuals!$A:$A,$A50)</f>
        <v/>
      </c>
      <c r="E50" s="9">
        <f>SUMIFS(Actuals!$G:$G,Actuals!$A:$A,$A50)</f>
        <v/>
      </c>
      <c r="F50" s="9">
        <f>SUMIFS(Actuals!$H:$H,Actuals!$A:$A,$A50)</f>
        <v/>
      </c>
      <c r="G50" s="9">
        <f>SUMIFS(Actuals!$I:$I,Actuals!$A:$A,$A50)</f>
        <v/>
      </c>
      <c r="H50" s="9">
        <f>SUMIFS(Actuals!$J:$J,Actuals!$A:$A,$A50)</f>
        <v/>
      </c>
      <c r="I50" s="9">
        <f>SUMIFS(Actuals!$K:$K,Actuals!$A:$A,$A50)</f>
        <v/>
      </c>
      <c r="J50" s="9">
        <f>SUMIFS(Actuals!$L:$L,Actuals!$A:$A,$A50)</f>
        <v/>
      </c>
      <c r="K50" s="9">
        <f>SUMIFS(Actuals!$M:$M,Actuals!$A:$A,$A50)</f>
        <v/>
      </c>
      <c r="L50" s="9">
        <f>SUMIFS(Actuals!$N:$N,Actuals!$A:$A,$A50)</f>
        <v/>
      </c>
      <c r="M50" s="9">
        <f>SUMIFS(Actuals!$O:$O,Actuals!$A:$A,$A50)</f>
        <v/>
      </c>
      <c r="N50" s="10">
        <f>SUM(B50:M50)</f>
        <v/>
      </c>
    </row>
    <row r="51">
      <c r="A51" s="5" t="inlineStr">
        <is>
          <t>Direct Freight - CONS</t>
        </is>
      </c>
      <c r="B51" s="9">
        <f>SUMIFS(Actuals!$D:$D,Actuals!$A:$A,$A51)</f>
        <v/>
      </c>
      <c r="C51" s="9">
        <f>SUMIFS(Actuals!$E:$E,Actuals!$A:$A,$A51)</f>
        <v/>
      </c>
      <c r="D51" s="9">
        <f>SUMIFS(Actuals!$F:$F,Actuals!$A:$A,$A51)</f>
        <v/>
      </c>
      <c r="E51" s="9">
        <f>SUMIFS(Actuals!$G:$G,Actuals!$A:$A,$A51)</f>
        <v/>
      </c>
      <c r="F51" s="9">
        <f>SUMIFS(Actuals!$H:$H,Actuals!$A:$A,$A51)</f>
        <v/>
      </c>
      <c r="G51" s="9">
        <f>SUMIFS(Actuals!$I:$I,Actuals!$A:$A,$A51)</f>
        <v/>
      </c>
      <c r="H51" s="9">
        <f>SUMIFS(Actuals!$J:$J,Actuals!$A:$A,$A51)</f>
        <v/>
      </c>
      <c r="I51" s="9">
        <f>SUMIFS(Actuals!$K:$K,Actuals!$A:$A,$A51)</f>
        <v/>
      </c>
      <c r="J51" s="9">
        <f>SUMIFS(Actuals!$L:$L,Actuals!$A:$A,$A51)</f>
        <v/>
      </c>
      <c r="K51" s="9">
        <f>SUMIFS(Actuals!$M:$M,Actuals!$A:$A,$A51)</f>
        <v/>
      </c>
      <c r="L51" s="9">
        <f>SUMIFS(Actuals!$N:$N,Actuals!$A:$A,$A51)</f>
        <v/>
      </c>
      <c r="M51" s="9">
        <f>SUMIFS(Actuals!$O:$O,Actuals!$A:$A,$A51)</f>
        <v/>
      </c>
      <c r="N51" s="10">
        <f>SUM(B51:M51)</f>
        <v/>
      </c>
    </row>
    <row r="52">
      <c r="A52" s="5" t="inlineStr">
        <is>
          <t>Direct Freight - INTEGRATION</t>
        </is>
      </c>
      <c r="B52" s="9">
        <f>SUMIFS(Actuals!$D:$D,Actuals!$A:$A,$A52)</f>
        <v/>
      </c>
      <c r="C52" s="9">
        <f>SUMIFS(Actuals!$E:$E,Actuals!$A:$A,$A52)</f>
        <v/>
      </c>
      <c r="D52" s="9">
        <f>SUMIFS(Actuals!$F:$F,Actuals!$A:$A,$A52)</f>
        <v/>
      </c>
      <c r="E52" s="9">
        <f>SUMIFS(Actuals!$G:$G,Actuals!$A:$A,$A52)</f>
        <v/>
      </c>
      <c r="F52" s="9">
        <f>SUMIFS(Actuals!$H:$H,Actuals!$A:$A,$A52)</f>
        <v/>
      </c>
      <c r="G52" s="9">
        <f>SUMIFS(Actuals!$I:$I,Actuals!$A:$A,$A52)</f>
        <v/>
      </c>
      <c r="H52" s="9">
        <f>SUMIFS(Actuals!$J:$J,Actuals!$A:$A,$A52)</f>
        <v/>
      </c>
      <c r="I52" s="9">
        <f>SUMIFS(Actuals!$K:$K,Actuals!$A:$A,$A52)</f>
        <v/>
      </c>
      <c r="J52" s="9">
        <f>SUMIFS(Actuals!$L:$L,Actuals!$A:$A,$A52)</f>
        <v/>
      </c>
      <c r="K52" s="9">
        <f>SUMIFS(Actuals!$M:$M,Actuals!$A:$A,$A52)</f>
        <v/>
      </c>
      <c r="L52" s="9">
        <f>SUMIFS(Actuals!$N:$N,Actuals!$A:$A,$A52)</f>
        <v/>
      </c>
      <c r="M52" s="9">
        <f>SUMIFS(Actuals!$O:$O,Actuals!$A:$A,$A52)</f>
        <v/>
      </c>
      <c r="N52" s="10">
        <f>SUM(B52:M52)</f>
        <v/>
      </c>
    </row>
    <row r="53">
      <c r="A53" s="5" t="inlineStr">
        <is>
          <t>Direct Freight - ONS</t>
        </is>
      </c>
      <c r="B53" s="9">
        <f>SUMIFS(Actuals!$D:$D,Actuals!$A:$A,$A53)</f>
        <v/>
      </c>
      <c r="C53" s="9">
        <f>SUMIFS(Actuals!$E:$E,Actuals!$A:$A,$A53)</f>
        <v/>
      </c>
      <c r="D53" s="9">
        <f>SUMIFS(Actuals!$F:$F,Actuals!$A:$A,$A53)</f>
        <v/>
      </c>
      <c r="E53" s="9">
        <f>SUMIFS(Actuals!$G:$G,Actuals!$A:$A,$A53)</f>
        <v/>
      </c>
      <c r="F53" s="9">
        <f>SUMIFS(Actuals!$H:$H,Actuals!$A:$A,$A53)</f>
        <v/>
      </c>
      <c r="G53" s="9">
        <f>SUMIFS(Actuals!$I:$I,Actuals!$A:$A,$A53)</f>
        <v/>
      </c>
      <c r="H53" s="9">
        <f>SUMIFS(Actuals!$J:$J,Actuals!$A:$A,$A53)</f>
        <v/>
      </c>
      <c r="I53" s="9">
        <f>SUMIFS(Actuals!$K:$K,Actuals!$A:$A,$A53)</f>
        <v/>
      </c>
      <c r="J53" s="9">
        <f>SUMIFS(Actuals!$L:$L,Actuals!$A:$A,$A53)</f>
        <v/>
      </c>
      <c r="K53" s="9">
        <f>SUMIFS(Actuals!$M:$M,Actuals!$A:$A,$A53)</f>
        <v/>
      </c>
      <c r="L53" s="9">
        <f>SUMIFS(Actuals!$N:$N,Actuals!$A:$A,$A53)</f>
        <v/>
      </c>
      <c r="M53" s="9">
        <f>SUMIFS(Actuals!$O:$O,Actuals!$A:$A,$A53)</f>
        <v/>
      </c>
      <c r="N53" s="10">
        <f>SUM(B53:M53)</f>
        <v/>
      </c>
    </row>
    <row r="54">
      <c r="A54" s="5" t="inlineStr">
        <is>
          <t>Direct Freight - PRD</t>
        </is>
      </c>
      <c r="B54" s="9">
        <f>SUMIFS(Actuals!$D:$D,Actuals!$A:$A,$A54)</f>
        <v/>
      </c>
      <c r="C54" s="9">
        <f>SUMIFS(Actuals!$E:$E,Actuals!$A:$A,$A54)</f>
        <v/>
      </c>
      <c r="D54" s="9">
        <f>SUMIFS(Actuals!$F:$F,Actuals!$A:$A,$A54)</f>
        <v/>
      </c>
      <c r="E54" s="9">
        <f>SUMIFS(Actuals!$G:$G,Actuals!$A:$A,$A54)</f>
        <v/>
      </c>
      <c r="F54" s="9">
        <f>SUMIFS(Actuals!$H:$H,Actuals!$A:$A,$A54)</f>
        <v/>
      </c>
      <c r="G54" s="9">
        <f>SUMIFS(Actuals!$I:$I,Actuals!$A:$A,$A54)</f>
        <v/>
      </c>
      <c r="H54" s="9">
        <f>SUMIFS(Actuals!$J:$J,Actuals!$A:$A,$A54)</f>
        <v/>
      </c>
      <c r="I54" s="9">
        <f>SUMIFS(Actuals!$K:$K,Actuals!$A:$A,$A54)</f>
        <v/>
      </c>
      <c r="J54" s="9">
        <f>SUMIFS(Actuals!$L:$L,Actuals!$A:$A,$A54)</f>
        <v/>
      </c>
      <c r="K54" s="9">
        <f>SUMIFS(Actuals!$M:$M,Actuals!$A:$A,$A54)</f>
        <v/>
      </c>
      <c r="L54" s="9">
        <f>SUMIFS(Actuals!$N:$N,Actuals!$A:$A,$A54)</f>
        <v/>
      </c>
      <c r="M54" s="9">
        <f>SUMIFS(Actuals!$O:$O,Actuals!$A:$A,$A54)</f>
        <v/>
      </c>
      <c r="N54" s="10">
        <f>SUM(B54:M54)</f>
        <v/>
      </c>
    </row>
    <row r="55">
      <c r="A55" s="5" t="inlineStr">
        <is>
          <t>Direct Freight - VID</t>
        </is>
      </c>
      <c r="B55" s="9">
        <f>SUMIFS(Actuals!$D:$D,Actuals!$A:$A,$A55)</f>
        <v/>
      </c>
      <c r="C55" s="9">
        <f>SUMIFS(Actuals!$E:$E,Actuals!$A:$A,$A55)</f>
        <v/>
      </c>
      <c r="D55" s="9">
        <f>SUMIFS(Actuals!$F:$F,Actuals!$A:$A,$A55)</f>
        <v/>
      </c>
      <c r="E55" s="9">
        <f>SUMIFS(Actuals!$G:$G,Actuals!$A:$A,$A55)</f>
        <v/>
      </c>
      <c r="F55" s="9">
        <f>SUMIFS(Actuals!$H:$H,Actuals!$A:$A,$A55)</f>
        <v/>
      </c>
      <c r="G55" s="9">
        <f>SUMIFS(Actuals!$I:$I,Actuals!$A:$A,$A55)</f>
        <v/>
      </c>
      <c r="H55" s="9">
        <f>SUMIFS(Actuals!$J:$J,Actuals!$A:$A,$A55)</f>
        <v/>
      </c>
      <c r="I55" s="9">
        <f>SUMIFS(Actuals!$K:$K,Actuals!$A:$A,$A55)</f>
        <v/>
      </c>
      <c r="J55" s="9">
        <f>SUMIFS(Actuals!$L:$L,Actuals!$A:$A,$A55)</f>
        <v/>
      </c>
      <c r="K55" s="9">
        <f>SUMIFS(Actuals!$M:$M,Actuals!$A:$A,$A55)</f>
        <v/>
      </c>
      <c r="L55" s="9">
        <f>SUMIFS(Actuals!$N:$N,Actuals!$A:$A,$A55)</f>
        <v/>
      </c>
      <c r="M55" s="9">
        <f>SUMIFS(Actuals!$O:$O,Actuals!$A:$A,$A55)</f>
        <v/>
      </c>
      <c r="N55" s="10">
        <f>SUM(B55:M55)</f>
        <v/>
      </c>
    </row>
    <row r="56">
      <c r="A56" s="5" t="inlineStr">
        <is>
          <t>Direct Mobile - CONS</t>
        </is>
      </c>
      <c r="B56" s="9">
        <f>SUMIFS(Actuals!$D:$D,Actuals!$A:$A,$A56)</f>
        <v/>
      </c>
      <c r="C56" s="9">
        <f>SUMIFS(Actuals!$E:$E,Actuals!$A:$A,$A56)</f>
        <v/>
      </c>
      <c r="D56" s="9">
        <f>SUMIFS(Actuals!$F:$F,Actuals!$A:$A,$A56)</f>
        <v/>
      </c>
      <c r="E56" s="9">
        <f>SUMIFS(Actuals!$G:$G,Actuals!$A:$A,$A56)</f>
        <v/>
      </c>
      <c r="F56" s="9">
        <f>SUMIFS(Actuals!$H:$H,Actuals!$A:$A,$A56)</f>
        <v/>
      </c>
      <c r="G56" s="9">
        <f>SUMIFS(Actuals!$I:$I,Actuals!$A:$A,$A56)</f>
        <v/>
      </c>
      <c r="H56" s="9">
        <f>SUMIFS(Actuals!$J:$J,Actuals!$A:$A,$A56)</f>
        <v/>
      </c>
      <c r="I56" s="9">
        <f>SUMIFS(Actuals!$K:$K,Actuals!$A:$A,$A56)</f>
        <v/>
      </c>
      <c r="J56" s="9">
        <f>SUMIFS(Actuals!$L:$L,Actuals!$A:$A,$A56)</f>
        <v/>
      </c>
      <c r="K56" s="9">
        <f>SUMIFS(Actuals!$M:$M,Actuals!$A:$A,$A56)</f>
        <v/>
      </c>
      <c r="L56" s="9">
        <f>SUMIFS(Actuals!$N:$N,Actuals!$A:$A,$A56)</f>
        <v/>
      </c>
      <c r="M56" s="9">
        <f>SUMIFS(Actuals!$O:$O,Actuals!$A:$A,$A56)</f>
        <v/>
      </c>
      <c r="N56" s="10">
        <f>SUM(B56:M56)</f>
        <v/>
      </c>
    </row>
    <row r="57">
      <c r="A57" s="5" t="inlineStr">
        <is>
          <t>Direct Mobile - INTEGRATION</t>
        </is>
      </c>
      <c r="B57" s="9">
        <f>SUMIFS(Actuals!$D:$D,Actuals!$A:$A,$A57)</f>
        <v/>
      </c>
      <c r="C57" s="9">
        <f>SUMIFS(Actuals!$E:$E,Actuals!$A:$A,$A57)</f>
        <v/>
      </c>
      <c r="D57" s="9">
        <f>SUMIFS(Actuals!$F:$F,Actuals!$A:$A,$A57)</f>
        <v/>
      </c>
      <c r="E57" s="9">
        <f>SUMIFS(Actuals!$G:$G,Actuals!$A:$A,$A57)</f>
        <v/>
      </c>
      <c r="F57" s="9">
        <f>SUMIFS(Actuals!$H:$H,Actuals!$A:$A,$A57)</f>
        <v/>
      </c>
      <c r="G57" s="9">
        <f>SUMIFS(Actuals!$I:$I,Actuals!$A:$A,$A57)</f>
        <v/>
      </c>
      <c r="H57" s="9">
        <f>SUMIFS(Actuals!$J:$J,Actuals!$A:$A,$A57)</f>
        <v/>
      </c>
      <c r="I57" s="9">
        <f>SUMIFS(Actuals!$K:$K,Actuals!$A:$A,$A57)</f>
        <v/>
      </c>
      <c r="J57" s="9">
        <f>SUMIFS(Actuals!$L:$L,Actuals!$A:$A,$A57)</f>
        <v/>
      </c>
      <c r="K57" s="9">
        <f>SUMIFS(Actuals!$M:$M,Actuals!$A:$A,$A57)</f>
        <v/>
      </c>
      <c r="L57" s="9">
        <f>SUMIFS(Actuals!$N:$N,Actuals!$A:$A,$A57)</f>
        <v/>
      </c>
      <c r="M57" s="9">
        <f>SUMIFS(Actuals!$O:$O,Actuals!$A:$A,$A57)</f>
        <v/>
      </c>
      <c r="N57" s="10">
        <f>SUM(B57:M57)</f>
        <v/>
      </c>
    </row>
    <row r="58">
      <c r="A58" s="5" t="inlineStr">
        <is>
          <t>Direct Mobile - ONS</t>
        </is>
      </c>
      <c r="B58" s="9">
        <f>SUMIFS(Actuals!$D:$D,Actuals!$A:$A,$A58)</f>
        <v/>
      </c>
      <c r="C58" s="9">
        <f>SUMIFS(Actuals!$E:$E,Actuals!$A:$A,$A58)</f>
        <v/>
      </c>
      <c r="D58" s="9">
        <f>SUMIFS(Actuals!$F:$F,Actuals!$A:$A,$A58)</f>
        <v/>
      </c>
      <c r="E58" s="9">
        <f>SUMIFS(Actuals!$G:$G,Actuals!$A:$A,$A58)</f>
        <v/>
      </c>
      <c r="F58" s="9">
        <f>SUMIFS(Actuals!$H:$H,Actuals!$A:$A,$A58)</f>
        <v/>
      </c>
      <c r="G58" s="9">
        <f>SUMIFS(Actuals!$I:$I,Actuals!$A:$A,$A58)</f>
        <v/>
      </c>
      <c r="H58" s="9">
        <f>SUMIFS(Actuals!$J:$J,Actuals!$A:$A,$A58)</f>
        <v/>
      </c>
      <c r="I58" s="9">
        <f>SUMIFS(Actuals!$K:$K,Actuals!$A:$A,$A58)</f>
        <v/>
      </c>
      <c r="J58" s="9">
        <f>SUMIFS(Actuals!$L:$L,Actuals!$A:$A,$A58)</f>
        <v/>
      </c>
      <c r="K58" s="9">
        <f>SUMIFS(Actuals!$M:$M,Actuals!$A:$A,$A58)</f>
        <v/>
      </c>
      <c r="L58" s="9">
        <f>SUMIFS(Actuals!$N:$N,Actuals!$A:$A,$A58)</f>
        <v/>
      </c>
      <c r="M58" s="9">
        <f>SUMIFS(Actuals!$O:$O,Actuals!$A:$A,$A58)</f>
        <v/>
      </c>
      <c r="N58" s="10">
        <f>SUM(B58:M58)</f>
        <v/>
      </c>
    </row>
    <row r="59">
      <c r="A59" s="5" t="inlineStr">
        <is>
          <t>Direct Mobile - PRD</t>
        </is>
      </c>
      <c r="B59" s="9">
        <f>SUMIFS(Actuals!$D:$D,Actuals!$A:$A,$A59)</f>
        <v/>
      </c>
      <c r="C59" s="9">
        <f>SUMIFS(Actuals!$E:$E,Actuals!$A:$A,$A59)</f>
        <v/>
      </c>
      <c r="D59" s="9">
        <f>SUMIFS(Actuals!$F:$F,Actuals!$A:$A,$A59)</f>
        <v/>
      </c>
      <c r="E59" s="9">
        <f>SUMIFS(Actuals!$G:$G,Actuals!$A:$A,$A59)</f>
        <v/>
      </c>
      <c r="F59" s="9">
        <f>SUMIFS(Actuals!$H:$H,Actuals!$A:$A,$A59)</f>
        <v/>
      </c>
      <c r="G59" s="9">
        <f>SUMIFS(Actuals!$I:$I,Actuals!$A:$A,$A59)</f>
        <v/>
      </c>
      <c r="H59" s="9">
        <f>SUMIFS(Actuals!$J:$J,Actuals!$A:$A,$A59)</f>
        <v/>
      </c>
      <c r="I59" s="9">
        <f>SUMIFS(Actuals!$K:$K,Actuals!$A:$A,$A59)</f>
        <v/>
      </c>
      <c r="J59" s="9">
        <f>SUMIFS(Actuals!$L:$L,Actuals!$A:$A,$A59)</f>
        <v/>
      </c>
      <c r="K59" s="9">
        <f>SUMIFS(Actuals!$M:$M,Actuals!$A:$A,$A59)</f>
        <v/>
      </c>
      <c r="L59" s="9">
        <f>SUMIFS(Actuals!$N:$N,Actuals!$A:$A,$A59)</f>
        <v/>
      </c>
      <c r="M59" s="9">
        <f>SUMIFS(Actuals!$O:$O,Actuals!$A:$A,$A59)</f>
        <v/>
      </c>
      <c r="N59" s="10">
        <f>SUM(B59:M59)</f>
        <v/>
      </c>
    </row>
    <row r="60">
      <c r="A60" s="5" t="inlineStr">
        <is>
          <t>Direct Mobile - VID</t>
        </is>
      </c>
      <c r="B60" s="9">
        <f>SUMIFS(Actuals!$D:$D,Actuals!$A:$A,$A60)</f>
        <v/>
      </c>
      <c r="C60" s="9">
        <f>SUMIFS(Actuals!$E:$E,Actuals!$A:$A,$A60)</f>
        <v/>
      </c>
      <c r="D60" s="9">
        <f>SUMIFS(Actuals!$F:$F,Actuals!$A:$A,$A60)</f>
        <v/>
      </c>
      <c r="E60" s="9">
        <f>SUMIFS(Actuals!$G:$G,Actuals!$A:$A,$A60)</f>
        <v/>
      </c>
      <c r="F60" s="9">
        <f>SUMIFS(Actuals!$H:$H,Actuals!$A:$A,$A60)</f>
        <v/>
      </c>
      <c r="G60" s="9">
        <f>SUMIFS(Actuals!$I:$I,Actuals!$A:$A,$A60)</f>
        <v/>
      </c>
      <c r="H60" s="9">
        <f>SUMIFS(Actuals!$J:$J,Actuals!$A:$A,$A60)</f>
        <v/>
      </c>
      <c r="I60" s="9">
        <f>SUMIFS(Actuals!$K:$K,Actuals!$A:$A,$A60)</f>
        <v/>
      </c>
      <c r="J60" s="9">
        <f>SUMIFS(Actuals!$L:$L,Actuals!$A:$A,$A60)</f>
        <v/>
      </c>
      <c r="K60" s="9">
        <f>SUMIFS(Actuals!$M:$M,Actuals!$A:$A,$A60)</f>
        <v/>
      </c>
      <c r="L60" s="9">
        <f>SUMIFS(Actuals!$N:$N,Actuals!$A:$A,$A60)</f>
        <v/>
      </c>
      <c r="M60" s="9">
        <f>SUMIFS(Actuals!$O:$O,Actuals!$A:$A,$A60)</f>
        <v/>
      </c>
      <c r="N60" s="10">
        <f>SUM(B60:M60)</f>
        <v/>
      </c>
    </row>
    <row r="61">
      <c r="A61" s="5" t="inlineStr">
        <is>
          <t>Direct Salaries - ADMIN</t>
        </is>
      </c>
      <c r="B61" s="9">
        <f>SUMIFS(Actuals!$D:$D,Actuals!$A:$A,$A61)</f>
        <v/>
      </c>
      <c r="C61" s="9">
        <f>SUMIFS(Actuals!$E:$E,Actuals!$A:$A,$A61)</f>
        <v/>
      </c>
      <c r="D61" s="9">
        <f>SUMIFS(Actuals!$F:$F,Actuals!$A:$A,$A61)</f>
        <v/>
      </c>
      <c r="E61" s="9">
        <f>SUMIFS(Actuals!$G:$G,Actuals!$A:$A,$A61)</f>
        <v/>
      </c>
      <c r="F61" s="9">
        <f>SUMIFS(Actuals!$H:$H,Actuals!$A:$A,$A61)</f>
        <v/>
      </c>
      <c r="G61" s="9">
        <f>SUMIFS(Actuals!$I:$I,Actuals!$A:$A,$A61)</f>
        <v/>
      </c>
      <c r="H61" s="9">
        <f>SUMIFS(Actuals!$J:$J,Actuals!$A:$A,$A61)</f>
        <v/>
      </c>
      <c r="I61" s="9">
        <f>SUMIFS(Actuals!$K:$K,Actuals!$A:$A,$A61)</f>
        <v/>
      </c>
      <c r="J61" s="9">
        <f>SUMIFS(Actuals!$L:$L,Actuals!$A:$A,$A61)</f>
        <v/>
      </c>
      <c r="K61" s="9">
        <f>SUMIFS(Actuals!$M:$M,Actuals!$A:$A,$A61)</f>
        <v/>
      </c>
      <c r="L61" s="9">
        <f>SUMIFS(Actuals!$N:$N,Actuals!$A:$A,$A61)</f>
        <v/>
      </c>
      <c r="M61" s="9">
        <f>SUMIFS(Actuals!$O:$O,Actuals!$A:$A,$A61)</f>
        <v/>
      </c>
      <c r="N61" s="10">
        <f>SUM(B61:M61)</f>
        <v/>
      </c>
    </row>
    <row r="62">
      <c r="A62" s="5" t="inlineStr">
        <is>
          <t>Direct Salaries - CONS</t>
        </is>
      </c>
      <c r="B62" s="9">
        <f>SUMIFS(Actuals!$D:$D,Actuals!$A:$A,$A62)</f>
        <v/>
      </c>
      <c r="C62" s="9">
        <f>SUMIFS(Actuals!$E:$E,Actuals!$A:$A,$A62)</f>
        <v/>
      </c>
      <c r="D62" s="9">
        <f>SUMIFS(Actuals!$F:$F,Actuals!$A:$A,$A62)</f>
        <v/>
      </c>
      <c r="E62" s="9">
        <f>SUMIFS(Actuals!$G:$G,Actuals!$A:$A,$A62)</f>
        <v/>
      </c>
      <c r="F62" s="9">
        <f>SUMIFS(Actuals!$H:$H,Actuals!$A:$A,$A62)</f>
        <v/>
      </c>
      <c r="G62" s="9">
        <f>SUMIFS(Actuals!$I:$I,Actuals!$A:$A,$A62)</f>
        <v/>
      </c>
      <c r="H62" s="9">
        <f>SUMIFS(Actuals!$J:$J,Actuals!$A:$A,$A62)</f>
        <v/>
      </c>
      <c r="I62" s="9">
        <f>SUMIFS(Actuals!$K:$K,Actuals!$A:$A,$A62)</f>
        <v/>
      </c>
      <c r="J62" s="9">
        <f>SUMIFS(Actuals!$L:$L,Actuals!$A:$A,$A62)</f>
        <v/>
      </c>
      <c r="K62" s="9">
        <f>SUMIFS(Actuals!$M:$M,Actuals!$A:$A,$A62)</f>
        <v/>
      </c>
      <c r="L62" s="9">
        <f>SUMIFS(Actuals!$N:$N,Actuals!$A:$A,$A62)</f>
        <v/>
      </c>
      <c r="M62" s="9">
        <f>SUMIFS(Actuals!$O:$O,Actuals!$A:$A,$A62)</f>
        <v/>
      </c>
      <c r="N62" s="10">
        <f>SUM(B62:M62)</f>
        <v/>
      </c>
    </row>
    <row r="63">
      <c r="A63" s="5" t="inlineStr">
        <is>
          <t>Direct Salaries - INTEGRATION</t>
        </is>
      </c>
      <c r="B63" s="9">
        <f>SUMIFS(Actuals!$D:$D,Actuals!$A:$A,$A63)</f>
        <v/>
      </c>
      <c r="C63" s="9">
        <f>SUMIFS(Actuals!$E:$E,Actuals!$A:$A,$A63)</f>
        <v/>
      </c>
      <c r="D63" s="9">
        <f>SUMIFS(Actuals!$F:$F,Actuals!$A:$A,$A63)</f>
        <v/>
      </c>
      <c r="E63" s="9">
        <f>SUMIFS(Actuals!$G:$G,Actuals!$A:$A,$A63)</f>
        <v/>
      </c>
      <c r="F63" s="9">
        <f>SUMIFS(Actuals!$H:$H,Actuals!$A:$A,$A63)</f>
        <v/>
      </c>
      <c r="G63" s="9">
        <f>SUMIFS(Actuals!$I:$I,Actuals!$A:$A,$A63)</f>
        <v/>
      </c>
      <c r="H63" s="9">
        <f>SUMIFS(Actuals!$J:$J,Actuals!$A:$A,$A63)</f>
        <v/>
      </c>
      <c r="I63" s="9">
        <f>SUMIFS(Actuals!$K:$K,Actuals!$A:$A,$A63)</f>
        <v/>
      </c>
      <c r="J63" s="9">
        <f>SUMIFS(Actuals!$L:$L,Actuals!$A:$A,$A63)</f>
        <v/>
      </c>
      <c r="K63" s="9">
        <f>SUMIFS(Actuals!$M:$M,Actuals!$A:$A,$A63)</f>
        <v/>
      </c>
      <c r="L63" s="9">
        <f>SUMIFS(Actuals!$N:$N,Actuals!$A:$A,$A63)</f>
        <v/>
      </c>
      <c r="M63" s="9">
        <f>SUMIFS(Actuals!$O:$O,Actuals!$A:$A,$A63)</f>
        <v/>
      </c>
      <c r="N63" s="10">
        <f>SUM(B63:M63)</f>
        <v/>
      </c>
    </row>
    <row r="64">
      <c r="A64" s="5" t="inlineStr">
        <is>
          <t>Direct Salaries - ONS</t>
        </is>
      </c>
      <c r="B64" s="9">
        <f>SUMIFS(Actuals!$D:$D,Actuals!$A:$A,$A64)</f>
        <v/>
      </c>
      <c r="C64" s="9">
        <f>SUMIFS(Actuals!$E:$E,Actuals!$A:$A,$A64)</f>
        <v/>
      </c>
      <c r="D64" s="9">
        <f>SUMIFS(Actuals!$F:$F,Actuals!$A:$A,$A64)</f>
        <v/>
      </c>
      <c r="E64" s="9">
        <f>SUMIFS(Actuals!$G:$G,Actuals!$A:$A,$A64)</f>
        <v/>
      </c>
      <c r="F64" s="9">
        <f>SUMIFS(Actuals!$H:$H,Actuals!$A:$A,$A64)</f>
        <v/>
      </c>
      <c r="G64" s="9">
        <f>SUMIFS(Actuals!$I:$I,Actuals!$A:$A,$A64)</f>
        <v/>
      </c>
      <c r="H64" s="9">
        <f>SUMIFS(Actuals!$J:$J,Actuals!$A:$A,$A64)</f>
        <v/>
      </c>
      <c r="I64" s="9">
        <f>SUMIFS(Actuals!$K:$K,Actuals!$A:$A,$A64)</f>
        <v/>
      </c>
      <c r="J64" s="9">
        <f>SUMIFS(Actuals!$L:$L,Actuals!$A:$A,$A64)</f>
        <v/>
      </c>
      <c r="K64" s="9">
        <f>SUMIFS(Actuals!$M:$M,Actuals!$A:$A,$A64)</f>
        <v/>
      </c>
      <c r="L64" s="9">
        <f>SUMIFS(Actuals!$N:$N,Actuals!$A:$A,$A64)</f>
        <v/>
      </c>
      <c r="M64" s="9">
        <f>SUMIFS(Actuals!$O:$O,Actuals!$A:$A,$A64)</f>
        <v/>
      </c>
      <c r="N64" s="10">
        <f>SUM(B64:M64)</f>
        <v/>
      </c>
    </row>
    <row r="65">
      <c r="A65" s="5" t="inlineStr">
        <is>
          <t>Direct Salaries - PRD</t>
        </is>
      </c>
      <c r="B65" s="9">
        <f>SUMIFS(Actuals!$D:$D,Actuals!$A:$A,$A65)</f>
        <v/>
      </c>
      <c r="C65" s="9">
        <f>SUMIFS(Actuals!$E:$E,Actuals!$A:$A,$A65)</f>
        <v/>
      </c>
      <c r="D65" s="9">
        <f>SUMIFS(Actuals!$F:$F,Actuals!$A:$A,$A65)</f>
        <v/>
      </c>
      <c r="E65" s="9">
        <f>SUMIFS(Actuals!$G:$G,Actuals!$A:$A,$A65)</f>
        <v/>
      </c>
      <c r="F65" s="9">
        <f>SUMIFS(Actuals!$H:$H,Actuals!$A:$A,$A65)</f>
        <v/>
      </c>
      <c r="G65" s="9">
        <f>SUMIFS(Actuals!$I:$I,Actuals!$A:$A,$A65)</f>
        <v/>
      </c>
      <c r="H65" s="9">
        <f>SUMIFS(Actuals!$J:$J,Actuals!$A:$A,$A65)</f>
        <v/>
      </c>
      <c r="I65" s="9">
        <f>SUMIFS(Actuals!$K:$K,Actuals!$A:$A,$A65)</f>
        <v/>
      </c>
      <c r="J65" s="9">
        <f>SUMIFS(Actuals!$L:$L,Actuals!$A:$A,$A65)</f>
        <v/>
      </c>
      <c r="K65" s="9">
        <f>SUMIFS(Actuals!$M:$M,Actuals!$A:$A,$A65)</f>
        <v/>
      </c>
      <c r="L65" s="9">
        <f>SUMIFS(Actuals!$N:$N,Actuals!$A:$A,$A65)</f>
        <v/>
      </c>
      <c r="M65" s="9">
        <f>SUMIFS(Actuals!$O:$O,Actuals!$A:$A,$A65)</f>
        <v/>
      </c>
      <c r="N65" s="10">
        <f>SUM(B65:M65)</f>
        <v/>
      </c>
    </row>
    <row r="66">
      <c r="A66" s="5" t="inlineStr">
        <is>
          <t>Direct Salaries - VID</t>
        </is>
      </c>
      <c r="B66" s="9">
        <f>SUMIFS(Actuals!$D:$D,Actuals!$A:$A,$A66)</f>
        <v/>
      </c>
      <c r="C66" s="9">
        <f>SUMIFS(Actuals!$E:$E,Actuals!$A:$A,$A66)</f>
        <v/>
      </c>
      <c r="D66" s="9">
        <f>SUMIFS(Actuals!$F:$F,Actuals!$A:$A,$A66)</f>
        <v/>
      </c>
      <c r="E66" s="9">
        <f>SUMIFS(Actuals!$G:$G,Actuals!$A:$A,$A66)</f>
        <v/>
      </c>
      <c r="F66" s="9">
        <f>SUMIFS(Actuals!$H:$H,Actuals!$A:$A,$A66)</f>
        <v/>
      </c>
      <c r="G66" s="9">
        <f>SUMIFS(Actuals!$I:$I,Actuals!$A:$A,$A66)</f>
        <v/>
      </c>
      <c r="H66" s="9">
        <f>SUMIFS(Actuals!$J:$J,Actuals!$A:$A,$A66)</f>
        <v/>
      </c>
      <c r="I66" s="9">
        <f>SUMIFS(Actuals!$K:$K,Actuals!$A:$A,$A66)</f>
        <v/>
      </c>
      <c r="J66" s="9">
        <f>SUMIFS(Actuals!$L:$L,Actuals!$A:$A,$A66)</f>
        <v/>
      </c>
      <c r="K66" s="9">
        <f>SUMIFS(Actuals!$M:$M,Actuals!$A:$A,$A66)</f>
        <v/>
      </c>
      <c r="L66" s="9">
        <f>SUMIFS(Actuals!$N:$N,Actuals!$A:$A,$A66)</f>
        <v/>
      </c>
      <c r="M66" s="9">
        <f>SUMIFS(Actuals!$O:$O,Actuals!$A:$A,$A66)</f>
        <v/>
      </c>
      <c r="N66" s="10">
        <f>SUM(B66:M66)</f>
        <v/>
      </c>
    </row>
    <row r="67">
      <c r="A67" s="5" t="inlineStr">
        <is>
          <t>Direct Superannuation - ADMIN</t>
        </is>
      </c>
      <c r="B67" s="9">
        <f>SUMIFS(Actuals!$D:$D,Actuals!$A:$A,$A67)</f>
        <v/>
      </c>
      <c r="C67" s="9">
        <f>SUMIFS(Actuals!$E:$E,Actuals!$A:$A,$A67)</f>
        <v/>
      </c>
      <c r="D67" s="9">
        <f>SUMIFS(Actuals!$F:$F,Actuals!$A:$A,$A67)</f>
        <v/>
      </c>
      <c r="E67" s="9">
        <f>SUMIFS(Actuals!$G:$G,Actuals!$A:$A,$A67)</f>
        <v/>
      </c>
      <c r="F67" s="9">
        <f>SUMIFS(Actuals!$H:$H,Actuals!$A:$A,$A67)</f>
        <v/>
      </c>
      <c r="G67" s="9">
        <f>SUMIFS(Actuals!$I:$I,Actuals!$A:$A,$A67)</f>
        <v/>
      </c>
      <c r="H67" s="9">
        <f>SUMIFS(Actuals!$J:$J,Actuals!$A:$A,$A67)</f>
        <v/>
      </c>
      <c r="I67" s="9">
        <f>SUMIFS(Actuals!$K:$K,Actuals!$A:$A,$A67)</f>
        <v/>
      </c>
      <c r="J67" s="9">
        <f>SUMIFS(Actuals!$L:$L,Actuals!$A:$A,$A67)</f>
        <v/>
      </c>
      <c r="K67" s="9">
        <f>SUMIFS(Actuals!$M:$M,Actuals!$A:$A,$A67)</f>
        <v/>
      </c>
      <c r="L67" s="9">
        <f>SUMIFS(Actuals!$N:$N,Actuals!$A:$A,$A67)</f>
        <v/>
      </c>
      <c r="M67" s="9">
        <f>SUMIFS(Actuals!$O:$O,Actuals!$A:$A,$A67)</f>
        <v/>
      </c>
      <c r="N67" s="10">
        <f>SUM(B67:M67)</f>
        <v/>
      </c>
    </row>
    <row r="68">
      <c r="A68" s="5" t="inlineStr">
        <is>
          <t>Direct Superannuation - CONS</t>
        </is>
      </c>
      <c r="B68" s="9">
        <f>SUMIFS(Actuals!$D:$D,Actuals!$A:$A,$A68)</f>
        <v/>
      </c>
      <c r="C68" s="9">
        <f>SUMIFS(Actuals!$E:$E,Actuals!$A:$A,$A68)</f>
        <v/>
      </c>
      <c r="D68" s="9">
        <f>SUMIFS(Actuals!$F:$F,Actuals!$A:$A,$A68)</f>
        <v/>
      </c>
      <c r="E68" s="9">
        <f>SUMIFS(Actuals!$G:$G,Actuals!$A:$A,$A68)</f>
        <v/>
      </c>
      <c r="F68" s="9">
        <f>SUMIFS(Actuals!$H:$H,Actuals!$A:$A,$A68)</f>
        <v/>
      </c>
      <c r="G68" s="9">
        <f>SUMIFS(Actuals!$I:$I,Actuals!$A:$A,$A68)</f>
        <v/>
      </c>
      <c r="H68" s="9">
        <f>SUMIFS(Actuals!$J:$J,Actuals!$A:$A,$A68)</f>
        <v/>
      </c>
      <c r="I68" s="9">
        <f>SUMIFS(Actuals!$K:$K,Actuals!$A:$A,$A68)</f>
        <v/>
      </c>
      <c r="J68" s="9">
        <f>SUMIFS(Actuals!$L:$L,Actuals!$A:$A,$A68)</f>
        <v/>
      </c>
      <c r="K68" s="9">
        <f>SUMIFS(Actuals!$M:$M,Actuals!$A:$A,$A68)</f>
        <v/>
      </c>
      <c r="L68" s="9">
        <f>SUMIFS(Actuals!$N:$N,Actuals!$A:$A,$A68)</f>
        <v/>
      </c>
      <c r="M68" s="9">
        <f>SUMIFS(Actuals!$O:$O,Actuals!$A:$A,$A68)</f>
        <v/>
      </c>
      <c r="N68" s="10">
        <f>SUM(B68:M68)</f>
        <v/>
      </c>
    </row>
    <row r="69">
      <c r="A69" s="5" t="inlineStr">
        <is>
          <t>Direct Superannuation - ONS</t>
        </is>
      </c>
      <c r="B69" s="9">
        <f>SUMIFS(Actuals!$D:$D,Actuals!$A:$A,$A69)</f>
        <v/>
      </c>
      <c r="C69" s="9">
        <f>SUMIFS(Actuals!$E:$E,Actuals!$A:$A,$A69)</f>
        <v/>
      </c>
      <c r="D69" s="9">
        <f>SUMIFS(Actuals!$F:$F,Actuals!$A:$A,$A69)</f>
        <v/>
      </c>
      <c r="E69" s="9">
        <f>SUMIFS(Actuals!$G:$G,Actuals!$A:$A,$A69)</f>
        <v/>
      </c>
      <c r="F69" s="9">
        <f>SUMIFS(Actuals!$H:$H,Actuals!$A:$A,$A69)</f>
        <v/>
      </c>
      <c r="G69" s="9">
        <f>SUMIFS(Actuals!$I:$I,Actuals!$A:$A,$A69)</f>
        <v/>
      </c>
      <c r="H69" s="9">
        <f>SUMIFS(Actuals!$J:$J,Actuals!$A:$A,$A69)</f>
        <v/>
      </c>
      <c r="I69" s="9">
        <f>SUMIFS(Actuals!$K:$K,Actuals!$A:$A,$A69)</f>
        <v/>
      </c>
      <c r="J69" s="9">
        <f>SUMIFS(Actuals!$L:$L,Actuals!$A:$A,$A69)</f>
        <v/>
      </c>
      <c r="K69" s="9">
        <f>SUMIFS(Actuals!$M:$M,Actuals!$A:$A,$A69)</f>
        <v/>
      </c>
      <c r="L69" s="9">
        <f>SUMIFS(Actuals!$N:$N,Actuals!$A:$A,$A69)</f>
        <v/>
      </c>
      <c r="M69" s="9">
        <f>SUMIFS(Actuals!$O:$O,Actuals!$A:$A,$A69)</f>
        <v/>
      </c>
      <c r="N69" s="10">
        <f>SUM(B69:M69)</f>
        <v/>
      </c>
    </row>
    <row r="70">
      <c r="A70" s="5" t="inlineStr">
        <is>
          <t>Direct Superannuation - PRD</t>
        </is>
      </c>
      <c r="B70" s="9">
        <f>SUMIFS(Actuals!$D:$D,Actuals!$A:$A,$A70)</f>
        <v/>
      </c>
      <c r="C70" s="9">
        <f>SUMIFS(Actuals!$E:$E,Actuals!$A:$A,$A70)</f>
        <v/>
      </c>
      <c r="D70" s="9">
        <f>SUMIFS(Actuals!$F:$F,Actuals!$A:$A,$A70)</f>
        <v/>
      </c>
      <c r="E70" s="9">
        <f>SUMIFS(Actuals!$G:$G,Actuals!$A:$A,$A70)</f>
        <v/>
      </c>
      <c r="F70" s="9">
        <f>SUMIFS(Actuals!$H:$H,Actuals!$A:$A,$A70)</f>
        <v/>
      </c>
      <c r="G70" s="9">
        <f>SUMIFS(Actuals!$I:$I,Actuals!$A:$A,$A70)</f>
        <v/>
      </c>
      <c r="H70" s="9">
        <f>SUMIFS(Actuals!$J:$J,Actuals!$A:$A,$A70)</f>
        <v/>
      </c>
      <c r="I70" s="9">
        <f>SUMIFS(Actuals!$K:$K,Actuals!$A:$A,$A70)</f>
        <v/>
      </c>
      <c r="J70" s="9">
        <f>SUMIFS(Actuals!$L:$L,Actuals!$A:$A,$A70)</f>
        <v/>
      </c>
      <c r="K70" s="9">
        <f>SUMIFS(Actuals!$M:$M,Actuals!$A:$A,$A70)</f>
        <v/>
      </c>
      <c r="L70" s="9">
        <f>SUMIFS(Actuals!$N:$N,Actuals!$A:$A,$A70)</f>
        <v/>
      </c>
      <c r="M70" s="9">
        <f>SUMIFS(Actuals!$O:$O,Actuals!$A:$A,$A70)</f>
        <v/>
      </c>
      <c r="N70" s="10">
        <f>SUM(B70:M70)</f>
        <v/>
      </c>
    </row>
    <row r="71">
      <c r="A71" s="5" t="inlineStr">
        <is>
          <t>Direct Superannuation - VID</t>
        </is>
      </c>
      <c r="B71" s="9">
        <f>SUMIFS(Actuals!$D:$D,Actuals!$A:$A,$A71)</f>
        <v/>
      </c>
      <c r="C71" s="9">
        <f>SUMIFS(Actuals!$E:$E,Actuals!$A:$A,$A71)</f>
        <v/>
      </c>
      <c r="D71" s="9">
        <f>SUMIFS(Actuals!$F:$F,Actuals!$A:$A,$A71)</f>
        <v/>
      </c>
      <c r="E71" s="9">
        <f>SUMIFS(Actuals!$G:$G,Actuals!$A:$A,$A71)</f>
        <v/>
      </c>
      <c r="F71" s="9">
        <f>SUMIFS(Actuals!$H:$H,Actuals!$A:$A,$A71)</f>
        <v/>
      </c>
      <c r="G71" s="9">
        <f>SUMIFS(Actuals!$I:$I,Actuals!$A:$A,$A71)</f>
        <v/>
      </c>
      <c r="H71" s="9">
        <f>SUMIFS(Actuals!$J:$J,Actuals!$A:$A,$A71)</f>
        <v/>
      </c>
      <c r="I71" s="9">
        <f>SUMIFS(Actuals!$K:$K,Actuals!$A:$A,$A71)</f>
        <v/>
      </c>
      <c r="J71" s="9">
        <f>SUMIFS(Actuals!$L:$L,Actuals!$A:$A,$A71)</f>
        <v/>
      </c>
      <c r="K71" s="9">
        <f>SUMIFS(Actuals!$M:$M,Actuals!$A:$A,$A71)</f>
        <v/>
      </c>
      <c r="L71" s="9">
        <f>SUMIFS(Actuals!$N:$N,Actuals!$A:$A,$A71)</f>
        <v/>
      </c>
      <c r="M71" s="9">
        <f>SUMIFS(Actuals!$O:$O,Actuals!$A:$A,$A71)</f>
        <v/>
      </c>
      <c r="N71" s="10">
        <f>SUM(B71:M71)</f>
        <v/>
      </c>
    </row>
    <row r="72">
      <c r="A72" s="5" t="inlineStr">
        <is>
          <t>Direct Superannuation-INTEGRATION</t>
        </is>
      </c>
      <c r="B72" s="9">
        <f>SUMIFS(Actuals!$D:$D,Actuals!$A:$A,$A72)</f>
        <v/>
      </c>
      <c r="C72" s="9">
        <f>SUMIFS(Actuals!$E:$E,Actuals!$A:$A,$A72)</f>
        <v/>
      </c>
      <c r="D72" s="9">
        <f>SUMIFS(Actuals!$F:$F,Actuals!$A:$A,$A72)</f>
        <v/>
      </c>
      <c r="E72" s="9">
        <f>SUMIFS(Actuals!$G:$G,Actuals!$A:$A,$A72)</f>
        <v/>
      </c>
      <c r="F72" s="9">
        <f>SUMIFS(Actuals!$H:$H,Actuals!$A:$A,$A72)</f>
        <v/>
      </c>
      <c r="G72" s="9">
        <f>SUMIFS(Actuals!$I:$I,Actuals!$A:$A,$A72)</f>
        <v/>
      </c>
      <c r="H72" s="9">
        <f>SUMIFS(Actuals!$J:$J,Actuals!$A:$A,$A72)</f>
        <v/>
      </c>
      <c r="I72" s="9">
        <f>SUMIFS(Actuals!$K:$K,Actuals!$A:$A,$A72)</f>
        <v/>
      </c>
      <c r="J72" s="9">
        <f>SUMIFS(Actuals!$L:$L,Actuals!$A:$A,$A72)</f>
        <v/>
      </c>
      <c r="K72" s="9">
        <f>SUMIFS(Actuals!$M:$M,Actuals!$A:$A,$A72)</f>
        <v/>
      </c>
      <c r="L72" s="9">
        <f>SUMIFS(Actuals!$N:$N,Actuals!$A:$A,$A72)</f>
        <v/>
      </c>
      <c r="M72" s="9">
        <f>SUMIFS(Actuals!$O:$O,Actuals!$A:$A,$A72)</f>
        <v/>
      </c>
      <c r="N72" s="10">
        <f>SUM(B72:M72)</f>
        <v/>
      </c>
    </row>
    <row r="73">
      <c r="A73" s="5" t="inlineStr">
        <is>
          <t>Direct Travel - ADMIN</t>
        </is>
      </c>
      <c r="B73" s="9">
        <f>SUMIFS(Actuals!$D:$D,Actuals!$A:$A,$A73)</f>
        <v/>
      </c>
      <c r="C73" s="9">
        <f>SUMIFS(Actuals!$E:$E,Actuals!$A:$A,$A73)</f>
        <v/>
      </c>
      <c r="D73" s="9">
        <f>SUMIFS(Actuals!$F:$F,Actuals!$A:$A,$A73)</f>
        <v/>
      </c>
      <c r="E73" s="9">
        <f>SUMIFS(Actuals!$G:$G,Actuals!$A:$A,$A73)</f>
        <v/>
      </c>
      <c r="F73" s="9">
        <f>SUMIFS(Actuals!$H:$H,Actuals!$A:$A,$A73)</f>
        <v/>
      </c>
      <c r="G73" s="9">
        <f>SUMIFS(Actuals!$I:$I,Actuals!$A:$A,$A73)</f>
        <v/>
      </c>
      <c r="H73" s="9">
        <f>SUMIFS(Actuals!$J:$J,Actuals!$A:$A,$A73)</f>
        <v/>
      </c>
      <c r="I73" s="9">
        <f>SUMIFS(Actuals!$K:$K,Actuals!$A:$A,$A73)</f>
        <v/>
      </c>
      <c r="J73" s="9">
        <f>SUMIFS(Actuals!$L:$L,Actuals!$A:$A,$A73)</f>
        <v/>
      </c>
      <c r="K73" s="9">
        <f>SUMIFS(Actuals!$M:$M,Actuals!$A:$A,$A73)</f>
        <v/>
      </c>
      <c r="L73" s="9">
        <f>SUMIFS(Actuals!$N:$N,Actuals!$A:$A,$A73)</f>
        <v/>
      </c>
      <c r="M73" s="9">
        <f>SUMIFS(Actuals!$O:$O,Actuals!$A:$A,$A73)</f>
        <v/>
      </c>
      <c r="N73" s="10">
        <f>SUM(B73:M73)</f>
        <v/>
      </c>
    </row>
    <row r="74">
      <c r="A74" s="5" t="inlineStr">
        <is>
          <t>Direct Travel - CONS</t>
        </is>
      </c>
      <c r="B74" s="9">
        <f>SUMIFS(Actuals!$D:$D,Actuals!$A:$A,$A74)</f>
        <v/>
      </c>
      <c r="C74" s="9">
        <f>SUMIFS(Actuals!$E:$E,Actuals!$A:$A,$A74)</f>
        <v/>
      </c>
      <c r="D74" s="9">
        <f>SUMIFS(Actuals!$F:$F,Actuals!$A:$A,$A74)</f>
        <v/>
      </c>
      <c r="E74" s="9">
        <f>SUMIFS(Actuals!$G:$G,Actuals!$A:$A,$A74)</f>
        <v/>
      </c>
      <c r="F74" s="9">
        <f>SUMIFS(Actuals!$H:$H,Actuals!$A:$A,$A74)</f>
        <v/>
      </c>
      <c r="G74" s="9">
        <f>SUMIFS(Actuals!$I:$I,Actuals!$A:$A,$A74)</f>
        <v/>
      </c>
      <c r="H74" s="9">
        <f>SUMIFS(Actuals!$J:$J,Actuals!$A:$A,$A74)</f>
        <v/>
      </c>
      <c r="I74" s="9">
        <f>SUMIFS(Actuals!$K:$K,Actuals!$A:$A,$A74)</f>
        <v/>
      </c>
      <c r="J74" s="9">
        <f>SUMIFS(Actuals!$L:$L,Actuals!$A:$A,$A74)</f>
        <v/>
      </c>
      <c r="K74" s="9">
        <f>SUMIFS(Actuals!$M:$M,Actuals!$A:$A,$A74)</f>
        <v/>
      </c>
      <c r="L74" s="9">
        <f>SUMIFS(Actuals!$N:$N,Actuals!$A:$A,$A74)</f>
        <v/>
      </c>
      <c r="M74" s="9">
        <f>SUMIFS(Actuals!$O:$O,Actuals!$A:$A,$A74)</f>
        <v/>
      </c>
      <c r="N74" s="10">
        <f>SUM(B74:M74)</f>
        <v/>
      </c>
    </row>
    <row r="75">
      <c r="A75" s="5" t="inlineStr">
        <is>
          <t>Direct Travel - INTEGRATION</t>
        </is>
      </c>
      <c r="B75" s="9">
        <f>SUMIFS(Actuals!$D:$D,Actuals!$A:$A,$A75)</f>
        <v/>
      </c>
      <c r="C75" s="9">
        <f>SUMIFS(Actuals!$E:$E,Actuals!$A:$A,$A75)</f>
        <v/>
      </c>
      <c r="D75" s="9">
        <f>SUMIFS(Actuals!$F:$F,Actuals!$A:$A,$A75)</f>
        <v/>
      </c>
      <c r="E75" s="9">
        <f>SUMIFS(Actuals!$G:$G,Actuals!$A:$A,$A75)</f>
        <v/>
      </c>
      <c r="F75" s="9">
        <f>SUMIFS(Actuals!$H:$H,Actuals!$A:$A,$A75)</f>
        <v/>
      </c>
      <c r="G75" s="9">
        <f>SUMIFS(Actuals!$I:$I,Actuals!$A:$A,$A75)</f>
        <v/>
      </c>
      <c r="H75" s="9">
        <f>SUMIFS(Actuals!$J:$J,Actuals!$A:$A,$A75)</f>
        <v/>
      </c>
      <c r="I75" s="9">
        <f>SUMIFS(Actuals!$K:$K,Actuals!$A:$A,$A75)</f>
        <v/>
      </c>
      <c r="J75" s="9">
        <f>SUMIFS(Actuals!$L:$L,Actuals!$A:$A,$A75)</f>
        <v/>
      </c>
      <c r="K75" s="9">
        <f>SUMIFS(Actuals!$M:$M,Actuals!$A:$A,$A75)</f>
        <v/>
      </c>
      <c r="L75" s="9">
        <f>SUMIFS(Actuals!$N:$N,Actuals!$A:$A,$A75)</f>
        <v/>
      </c>
      <c r="M75" s="9">
        <f>SUMIFS(Actuals!$O:$O,Actuals!$A:$A,$A75)</f>
        <v/>
      </c>
      <c r="N75" s="10">
        <f>SUM(B75:M75)</f>
        <v/>
      </c>
    </row>
    <row r="76">
      <c r="A76" s="5" t="inlineStr">
        <is>
          <t>Direct Travel - ONS</t>
        </is>
      </c>
      <c r="B76" s="9">
        <f>SUMIFS(Actuals!$D:$D,Actuals!$A:$A,$A76)</f>
        <v/>
      </c>
      <c r="C76" s="9">
        <f>SUMIFS(Actuals!$E:$E,Actuals!$A:$A,$A76)</f>
        <v/>
      </c>
      <c r="D76" s="9">
        <f>SUMIFS(Actuals!$F:$F,Actuals!$A:$A,$A76)</f>
        <v/>
      </c>
      <c r="E76" s="9">
        <f>SUMIFS(Actuals!$G:$G,Actuals!$A:$A,$A76)</f>
        <v/>
      </c>
      <c r="F76" s="9">
        <f>SUMIFS(Actuals!$H:$H,Actuals!$A:$A,$A76)</f>
        <v/>
      </c>
      <c r="G76" s="9">
        <f>SUMIFS(Actuals!$I:$I,Actuals!$A:$A,$A76)</f>
        <v/>
      </c>
      <c r="H76" s="9">
        <f>SUMIFS(Actuals!$J:$J,Actuals!$A:$A,$A76)</f>
        <v/>
      </c>
      <c r="I76" s="9">
        <f>SUMIFS(Actuals!$K:$K,Actuals!$A:$A,$A76)</f>
        <v/>
      </c>
      <c r="J76" s="9">
        <f>SUMIFS(Actuals!$L:$L,Actuals!$A:$A,$A76)</f>
        <v/>
      </c>
      <c r="K76" s="9">
        <f>SUMIFS(Actuals!$M:$M,Actuals!$A:$A,$A76)</f>
        <v/>
      </c>
      <c r="L76" s="9">
        <f>SUMIFS(Actuals!$N:$N,Actuals!$A:$A,$A76)</f>
        <v/>
      </c>
      <c r="M76" s="9">
        <f>SUMIFS(Actuals!$O:$O,Actuals!$A:$A,$A76)</f>
        <v/>
      </c>
      <c r="N76" s="10">
        <f>SUM(B76:M76)</f>
        <v/>
      </c>
    </row>
    <row r="77">
      <c r="A77" s="5" t="inlineStr">
        <is>
          <t>Direct Travel - PRD</t>
        </is>
      </c>
      <c r="B77" s="9">
        <f>SUMIFS(Actuals!$D:$D,Actuals!$A:$A,$A77)</f>
        <v/>
      </c>
      <c r="C77" s="9">
        <f>SUMIFS(Actuals!$E:$E,Actuals!$A:$A,$A77)</f>
        <v/>
      </c>
      <c r="D77" s="9">
        <f>SUMIFS(Actuals!$F:$F,Actuals!$A:$A,$A77)</f>
        <v/>
      </c>
      <c r="E77" s="9">
        <f>SUMIFS(Actuals!$G:$G,Actuals!$A:$A,$A77)</f>
        <v/>
      </c>
      <c r="F77" s="9">
        <f>SUMIFS(Actuals!$H:$H,Actuals!$A:$A,$A77)</f>
        <v/>
      </c>
      <c r="G77" s="9">
        <f>SUMIFS(Actuals!$I:$I,Actuals!$A:$A,$A77)</f>
        <v/>
      </c>
      <c r="H77" s="9">
        <f>SUMIFS(Actuals!$J:$J,Actuals!$A:$A,$A77)</f>
        <v/>
      </c>
      <c r="I77" s="9">
        <f>SUMIFS(Actuals!$K:$K,Actuals!$A:$A,$A77)</f>
        <v/>
      </c>
      <c r="J77" s="9">
        <f>SUMIFS(Actuals!$L:$L,Actuals!$A:$A,$A77)</f>
        <v/>
      </c>
      <c r="K77" s="9">
        <f>SUMIFS(Actuals!$M:$M,Actuals!$A:$A,$A77)</f>
        <v/>
      </c>
      <c r="L77" s="9">
        <f>SUMIFS(Actuals!$N:$N,Actuals!$A:$A,$A77)</f>
        <v/>
      </c>
      <c r="M77" s="9">
        <f>SUMIFS(Actuals!$O:$O,Actuals!$A:$A,$A77)</f>
        <v/>
      </c>
      <c r="N77" s="10">
        <f>SUM(B77:M77)</f>
        <v/>
      </c>
    </row>
    <row r="78">
      <c r="A78" s="5" t="inlineStr">
        <is>
          <t>Direct Travel - VID</t>
        </is>
      </c>
      <c r="B78" s="9">
        <f>SUMIFS(Actuals!$D:$D,Actuals!$A:$A,$A78)</f>
        <v/>
      </c>
      <c r="C78" s="9">
        <f>SUMIFS(Actuals!$E:$E,Actuals!$A:$A,$A78)</f>
        <v/>
      </c>
      <c r="D78" s="9">
        <f>SUMIFS(Actuals!$F:$F,Actuals!$A:$A,$A78)</f>
        <v/>
      </c>
      <c r="E78" s="9">
        <f>SUMIFS(Actuals!$G:$G,Actuals!$A:$A,$A78)</f>
        <v/>
      </c>
      <c r="F78" s="9">
        <f>SUMIFS(Actuals!$H:$H,Actuals!$A:$A,$A78)</f>
        <v/>
      </c>
      <c r="G78" s="9">
        <f>SUMIFS(Actuals!$I:$I,Actuals!$A:$A,$A78)</f>
        <v/>
      </c>
      <c r="H78" s="9">
        <f>SUMIFS(Actuals!$J:$J,Actuals!$A:$A,$A78)</f>
        <v/>
      </c>
      <c r="I78" s="9">
        <f>SUMIFS(Actuals!$K:$K,Actuals!$A:$A,$A78)</f>
        <v/>
      </c>
      <c r="J78" s="9">
        <f>SUMIFS(Actuals!$L:$L,Actuals!$A:$A,$A78)</f>
        <v/>
      </c>
      <c r="K78" s="9">
        <f>SUMIFS(Actuals!$M:$M,Actuals!$A:$A,$A78)</f>
        <v/>
      </c>
      <c r="L78" s="9">
        <f>SUMIFS(Actuals!$N:$N,Actuals!$A:$A,$A78)</f>
        <v/>
      </c>
      <c r="M78" s="9">
        <f>SUMIFS(Actuals!$O:$O,Actuals!$A:$A,$A78)</f>
        <v/>
      </c>
      <c r="N78" s="10">
        <f>SUM(B78:M78)</f>
        <v/>
      </c>
    </row>
    <row r="79">
      <c r="A79" s="5" t="inlineStr">
        <is>
          <t>Direct Wages - CONS</t>
        </is>
      </c>
      <c r="B79" s="9">
        <f>SUMIFS(Actuals!$D:$D,Actuals!$A:$A,$A79)</f>
        <v/>
      </c>
      <c r="C79" s="9">
        <f>SUMIFS(Actuals!$E:$E,Actuals!$A:$A,$A79)</f>
        <v/>
      </c>
      <c r="D79" s="9">
        <f>SUMIFS(Actuals!$F:$F,Actuals!$A:$A,$A79)</f>
        <v/>
      </c>
      <c r="E79" s="9">
        <f>SUMIFS(Actuals!$G:$G,Actuals!$A:$A,$A79)</f>
        <v/>
      </c>
      <c r="F79" s="9">
        <f>SUMIFS(Actuals!$H:$H,Actuals!$A:$A,$A79)</f>
        <v/>
      </c>
      <c r="G79" s="9">
        <f>SUMIFS(Actuals!$I:$I,Actuals!$A:$A,$A79)</f>
        <v/>
      </c>
      <c r="H79" s="9">
        <f>SUMIFS(Actuals!$J:$J,Actuals!$A:$A,$A79)</f>
        <v/>
      </c>
      <c r="I79" s="9">
        <f>SUMIFS(Actuals!$K:$K,Actuals!$A:$A,$A79)</f>
        <v/>
      </c>
      <c r="J79" s="9">
        <f>SUMIFS(Actuals!$L:$L,Actuals!$A:$A,$A79)</f>
        <v/>
      </c>
      <c r="K79" s="9">
        <f>SUMIFS(Actuals!$M:$M,Actuals!$A:$A,$A79)</f>
        <v/>
      </c>
      <c r="L79" s="9">
        <f>SUMIFS(Actuals!$N:$N,Actuals!$A:$A,$A79)</f>
        <v/>
      </c>
      <c r="M79" s="9">
        <f>SUMIFS(Actuals!$O:$O,Actuals!$A:$A,$A79)</f>
        <v/>
      </c>
      <c r="N79" s="10">
        <f>SUM(B79:M79)</f>
        <v/>
      </c>
    </row>
    <row r="80">
      <c r="A80" s="5" t="inlineStr">
        <is>
          <t>Direct Wages - INTEGRATION</t>
        </is>
      </c>
      <c r="B80" s="9">
        <f>SUMIFS(Actuals!$D:$D,Actuals!$A:$A,$A80)</f>
        <v/>
      </c>
      <c r="C80" s="9">
        <f>SUMIFS(Actuals!$E:$E,Actuals!$A:$A,$A80)</f>
        <v/>
      </c>
      <c r="D80" s="9">
        <f>SUMIFS(Actuals!$F:$F,Actuals!$A:$A,$A80)</f>
        <v/>
      </c>
      <c r="E80" s="9">
        <f>SUMIFS(Actuals!$G:$G,Actuals!$A:$A,$A80)</f>
        <v/>
      </c>
      <c r="F80" s="9">
        <f>SUMIFS(Actuals!$H:$H,Actuals!$A:$A,$A80)</f>
        <v/>
      </c>
      <c r="G80" s="9">
        <f>SUMIFS(Actuals!$I:$I,Actuals!$A:$A,$A80)</f>
        <v/>
      </c>
      <c r="H80" s="9">
        <f>SUMIFS(Actuals!$J:$J,Actuals!$A:$A,$A80)</f>
        <v/>
      </c>
      <c r="I80" s="9">
        <f>SUMIFS(Actuals!$K:$K,Actuals!$A:$A,$A80)</f>
        <v/>
      </c>
      <c r="J80" s="9">
        <f>SUMIFS(Actuals!$L:$L,Actuals!$A:$A,$A80)</f>
        <v/>
      </c>
      <c r="K80" s="9">
        <f>SUMIFS(Actuals!$M:$M,Actuals!$A:$A,$A80)</f>
        <v/>
      </c>
      <c r="L80" s="9">
        <f>SUMIFS(Actuals!$N:$N,Actuals!$A:$A,$A80)</f>
        <v/>
      </c>
      <c r="M80" s="9">
        <f>SUMIFS(Actuals!$O:$O,Actuals!$A:$A,$A80)</f>
        <v/>
      </c>
      <c r="N80" s="10">
        <f>SUM(B80:M80)</f>
        <v/>
      </c>
    </row>
    <row r="81">
      <c r="A81" s="5" t="inlineStr">
        <is>
          <t>Direct Wages - ONS</t>
        </is>
      </c>
      <c r="B81" s="9">
        <f>SUMIFS(Actuals!$D:$D,Actuals!$A:$A,$A81)</f>
        <v/>
      </c>
      <c r="C81" s="9">
        <f>SUMIFS(Actuals!$E:$E,Actuals!$A:$A,$A81)</f>
        <v/>
      </c>
      <c r="D81" s="9">
        <f>SUMIFS(Actuals!$F:$F,Actuals!$A:$A,$A81)</f>
        <v/>
      </c>
      <c r="E81" s="9">
        <f>SUMIFS(Actuals!$G:$G,Actuals!$A:$A,$A81)</f>
        <v/>
      </c>
      <c r="F81" s="9">
        <f>SUMIFS(Actuals!$H:$H,Actuals!$A:$A,$A81)</f>
        <v/>
      </c>
      <c r="G81" s="9">
        <f>SUMIFS(Actuals!$I:$I,Actuals!$A:$A,$A81)</f>
        <v/>
      </c>
      <c r="H81" s="9">
        <f>SUMIFS(Actuals!$J:$J,Actuals!$A:$A,$A81)</f>
        <v/>
      </c>
      <c r="I81" s="9">
        <f>SUMIFS(Actuals!$K:$K,Actuals!$A:$A,$A81)</f>
        <v/>
      </c>
      <c r="J81" s="9">
        <f>SUMIFS(Actuals!$L:$L,Actuals!$A:$A,$A81)</f>
        <v/>
      </c>
      <c r="K81" s="9">
        <f>SUMIFS(Actuals!$M:$M,Actuals!$A:$A,$A81)</f>
        <v/>
      </c>
      <c r="L81" s="9">
        <f>SUMIFS(Actuals!$N:$N,Actuals!$A:$A,$A81)</f>
        <v/>
      </c>
      <c r="M81" s="9">
        <f>SUMIFS(Actuals!$O:$O,Actuals!$A:$A,$A81)</f>
        <v/>
      </c>
      <c r="N81" s="10">
        <f>SUM(B81:M81)</f>
        <v/>
      </c>
    </row>
    <row r="82">
      <c r="A82" s="5" t="inlineStr">
        <is>
          <t>Direct Wages - PRD</t>
        </is>
      </c>
      <c r="B82" s="9">
        <f>SUMIFS(Actuals!$D:$D,Actuals!$A:$A,$A82)</f>
        <v/>
      </c>
      <c r="C82" s="9">
        <f>SUMIFS(Actuals!$E:$E,Actuals!$A:$A,$A82)</f>
        <v/>
      </c>
      <c r="D82" s="9">
        <f>SUMIFS(Actuals!$F:$F,Actuals!$A:$A,$A82)</f>
        <v/>
      </c>
      <c r="E82" s="9">
        <f>SUMIFS(Actuals!$G:$G,Actuals!$A:$A,$A82)</f>
        <v/>
      </c>
      <c r="F82" s="9">
        <f>SUMIFS(Actuals!$H:$H,Actuals!$A:$A,$A82)</f>
        <v/>
      </c>
      <c r="G82" s="9">
        <f>SUMIFS(Actuals!$I:$I,Actuals!$A:$A,$A82)</f>
        <v/>
      </c>
      <c r="H82" s="9">
        <f>SUMIFS(Actuals!$J:$J,Actuals!$A:$A,$A82)</f>
        <v/>
      </c>
      <c r="I82" s="9">
        <f>SUMIFS(Actuals!$K:$K,Actuals!$A:$A,$A82)</f>
        <v/>
      </c>
      <c r="J82" s="9">
        <f>SUMIFS(Actuals!$L:$L,Actuals!$A:$A,$A82)</f>
        <v/>
      </c>
      <c r="K82" s="9">
        <f>SUMIFS(Actuals!$M:$M,Actuals!$A:$A,$A82)</f>
        <v/>
      </c>
      <c r="L82" s="9">
        <f>SUMIFS(Actuals!$N:$N,Actuals!$A:$A,$A82)</f>
        <v/>
      </c>
      <c r="M82" s="9">
        <f>SUMIFS(Actuals!$O:$O,Actuals!$A:$A,$A82)</f>
        <v/>
      </c>
      <c r="N82" s="10">
        <f>SUM(B82:M82)</f>
        <v/>
      </c>
    </row>
    <row r="83">
      <c r="A83" s="5" t="inlineStr">
        <is>
          <t>Direct Wages - VID</t>
        </is>
      </c>
      <c r="B83" s="9">
        <f>SUMIFS(Actuals!$D:$D,Actuals!$A:$A,$A83)</f>
        <v/>
      </c>
      <c r="C83" s="9">
        <f>SUMIFS(Actuals!$E:$E,Actuals!$A:$A,$A83)</f>
        <v/>
      </c>
      <c r="D83" s="9">
        <f>SUMIFS(Actuals!$F:$F,Actuals!$A:$A,$A83)</f>
        <v/>
      </c>
      <c r="E83" s="9">
        <f>SUMIFS(Actuals!$G:$G,Actuals!$A:$A,$A83)</f>
        <v/>
      </c>
      <c r="F83" s="9">
        <f>SUMIFS(Actuals!$H:$H,Actuals!$A:$A,$A83)</f>
        <v/>
      </c>
      <c r="G83" s="9">
        <f>SUMIFS(Actuals!$I:$I,Actuals!$A:$A,$A83)</f>
        <v/>
      </c>
      <c r="H83" s="9">
        <f>SUMIFS(Actuals!$J:$J,Actuals!$A:$A,$A83)</f>
        <v/>
      </c>
      <c r="I83" s="9">
        <f>SUMIFS(Actuals!$K:$K,Actuals!$A:$A,$A83)</f>
        <v/>
      </c>
      <c r="J83" s="9">
        <f>SUMIFS(Actuals!$L:$L,Actuals!$A:$A,$A83)</f>
        <v/>
      </c>
      <c r="K83" s="9">
        <f>SUMIFS(Actuals!$M:$M,Actuals!$A:$A,$A83)</f>
        <v/>
      </c>
      <c r="L83" s="9">
        <f>SUMIFS(Actuals!$N:$N,Actuals!$A:$A,$A83)</f>
        <v/>
      </c>
      <c r="M83" s="9">
        <f>SUMIFS(Actuals!$O:$O,Actuals!$A:$A,$A83)</f>
        <v/>
      </c>
      <c r="N83" s="10">
        <f>SUM(B83:M83)</f>
        <v/>
      </c>
    </row>
    <row r="84">
      <c r="A84" s="5" t="inlineStr">
        <is>
          <t>Direct Workers Comp - ADMIN</t>
        </is>
      </c>
      <c r="B84" s="9">
        <f>SUMIFS(Actuals!$D:$D,Actuals!$A:$A,$A84)</f>
        <v/>
      </c>
      <c r="C84" s="9">
        <f>SUMIFS(Actuals!$E:$E,Actuals!$A:$A,$A84)</f>
        <v/>
      </c>
      <c r="D84" s="9">
        <f>SUMIFS(Actuals!$F:$F,Actuals!$A:$A,$A84)</f>
        <v/>
      </c>
      <c r="E84" s="9">
        <f>SUMIFS(Actuals!$G:$G,Actuals!$A:$A,$A84)</f>
        <v/>
      </c>
      <c r="F84" s="9">
        <f>SUMIFS(Actuals!$H:$H,Actuals!$A:$A,$A84)</f>
        <v/>
      </c>
      <c r="G84" s="9">
        <f>SUMIFS(Actuals!$I:$I,Actuals!$A:$A,$A84)</f>
        <v/>
      </c>
      <c r="H84" s="9">
        <f>SUMIFS(Actuals!$J:$J,Actuals!$A:$A,$A84)</f>
        <v/>
      </c>
      <c r="I84" s="9">
        <f>SUMIFS(Actuals!$K:$K,Actuals!$A:$A,$A84)</f>
        <v/>
      </c>
      <c r="J84" s="9">
        <f>SUMIFS(Actuals!$L:$L,Actuals!$A:$A,$A84)</f>
        <v/>
      </c>
      <c r="K84" s="9">
        <f>SUMIFS(Actuals!$M:$M,Actuals!$A:$A,$A84)</f>
        <v/>
      </c>
      <c r="L84" s="9">
        <f>SUMIFS(Actuals!$N:$N,Actuals!$A:$A,$A84)</f>
        <v/>
      </c>
      <c r="M84" s="9">
        <f>SUMIFS(Actuals!$O:$O,Actuals!$A:$A,$A84)</f>
        <v/>
      </c>
      <c r="N84" s="10">
        <f>SUM(B84:M84)</f>
        <v/>
      </c>
    </row>
    <row r="85">
      <c r="A85" s="5" t="inlineStr">
        <is>
          <t>Direct Workers Comp - CONS</t>
        </is>
      </c>
      <c r="B85" s="9">
        <f>SUMIFS(Actuals!$D:$D,Actuals!$A:$A,$A85)</f>
        <v/>
      </c>
      <c r="C85" s="9">
        <f>SUMIFS(Actuals!$E:$E,Actuals!$A:$A,$A85)</f>
        <v/>
      </c>
      <c r="D85" s="9">
        <f>SUMIFS(Actuals!$F:$F,Actuals!$A:$A,$A85)</f>
        <v/>
      </c>
      <c r="E85" s="9">
        <f>SUMIFS(Actuals!$G:$G,Actuals!$A:$A,$A85)</f>
        <v/>
      </c>
      <c r="F85" s="9">
        <f>SUMIFS(Actuals!$H:$H,Actuals!$A:$A,$A85)</f>
        <v/>
      </c>
      <c r="G85" s="9">
        <f>SUMIFS(Actuals!$I:$I,Actuals!$A:$A,$A85)</f>
        <v/>
      </c>
      <c r="H85" s="9">
        <f>SUMIFS(Actuals!$J:$J,Actuals!$A:$A,$A85)</f>
        <v/>
      </c>
      <c r="I85" s="9">
        <f>SUMIFS(Actuals!$K:$K,Actuals!$A:$A,$A85)</f>
        <v/>
      </c>
      <c r="J85" s="9">
        <f>SUMIFS(Actuals!$L:$L,Actuals!$A:$A,$A85)</f>
        <v/>
      </c>
      <c r="K85" s="9">
        <f>SUMIFS(Actuals!$M:$M,Actuals!$A:$A,$A85)</f>
        <v/>
      </c>
      <c r="L85" s="9">
        <f>SUMIFS(Actuals!$N:$N,Actuals!$A:$A,$A85)</f>
        <v/>
      </c>
      <c r="M85" s="9">
        <f>SUMIFS(Actuals!$O:$O,Actuals!$A:$A,$A85)</f>
        <v/>
      </c>
      <c r="N85" s="10">
        <f>SUM(B85:M85)</f>
        <v/>
      </c>
    </row>
    <row r="86">
      <c r="A86" s="5" t="inlineStr">
        <is>
          <t>Direct Workers Comp - INTEGRATION</t>
        </is>
      </c>
      <c r="B86" s="9">
        <f>SUMIFS(Actuals!$D:$D,Actuals!$A:$A,$A86)</f>
        <v/>
      </c>
      <c r="C86" s="9">
        <f>SUMIFS(Actuals!$E:$E,Actuals!$A:$A,$A86)</f>
        <v/>
      </c>
      <c r="D86" s="9">
        <f>SUMIFS(Actuals!$F:$F,Actuals!$A:$A,$A86)</f>
        <v/>
      </c>
      <c r="E86" s="9">
        <f>SUMIFS(Actuals!$G:$G,Actuals!$A:$A,$A86)</f>
        <v/>
      </c>
      <c r="F86" s="9">
        <f>SUMIFS(Actuals!$H:$H,Actuals!$A:$A,$A86)</f>
        <v/>
      </c>
      <c r="G86" s="9">
        <f>SUMIFS(Actuals!$I:$I,Actuals!$A:$A,$A86)</f>
        <v/>
      </c>
      <c r="H86" s="9">
        <f>SUMIFS(Actuals!$J:$J,Actuals!$A:$A,$A86)</f>
        <v/>
      </c>
      <c r="I86" s="9">
        <f>SUMIFS(Actuals!$K:$K,Actuals!$A:$A,$A86)</f>
        <v/>
      </c>
      <c r="J86" s="9">
        <f>SUMIFS(Actuals!$L:$L,Actuals!$A:$A,$A86)</f>
        <v/>
      </c>
      <c r="K86" s="9">
        <f>SUMIFS(Actuals!$M:$M,Actuals!$A:$A,$A86)</f>
        <v/>
      </c>
      <c r="L86" s="9">
        <f>SUMIFS(Actuals!$N:$N,Actuals!$A:$A,$A86)</f>
        <v/>
      </c>
      <c r="M86" s="9">
        <f>SUMIFS(Actuals!$O:$O,Actuals!$A:$A,$A86)</f>
        <v/>
      </c>
      <c r="N86" s="10">
        <f>SUM(B86:M86)</f>
        <v/>
      </c>
    </row>
    <row r="87">
      <c r="A87" s="5" t="inlineStr">
        <is>
          <t>Direct Workers Comp - ONS</t>
        </is>
      </c>
      <c r="B87" s="9">
        <f>SUMIFS(Actuals!$D:$D,Actuals!$A:$A,$A87)</f>
        <v/>
      </c>
      <c r="C87" s="9">
        <f>SUMIFS(Actuals!$E:$E,Actuals!$A:$A,$A87)</f>
        <v/>
      </c>
      <c r="D87" s="9">
        <f>SUMIFS(Actuals!$F:$F,Actuals!$A:$A,$A87)</f>
        <v/>
      </c>
      <c r="E87" s="9">
        <f>SUMIFS(Actuals!$G:$G,Actuals!$A:$A,$A87)</f>
        <v/>
      </c>
      <c r="F87" s="9">
        <f>SUMIFS(Actuals!$H:$H,Actuals!$A:$A,$A87)</f>
        <v/>
      </c>
      <c r="G87" s="9">
        <f>SUMIFS(Actuals!$I:$I,Actuals!$A:$A,$A87)</f>
        <v/>
      </c>
      <c r="H87" s="9">
        <f>SUMIFS(Actuals!$J:$J,Actuals!$A:$A,$A87)</f>
        <v/>
      </c>
      <c r="I87" s="9">
        <f>SUMIFS(Actuals!$K:$K,Actuals!$A:$A,$A87)</f>
        <v/>
      </c>
      <c r="J87" s="9">
        <f>SUMIFS(Actuals!$L:$L,Actuals!$A:$A,$A87)</f>
        <v/>
      </c>
      <c r="K87" s="9">
        <f>SUMIFS(Actuals!$M:$M,Actuals!$A:$A,$A87)</f>
        <v/>
      </c>
      <c r="L87" s="9">
        <f>SUMIFS(Actuals!$N:$N,Actuals!$A:$A,$A87)</f>
        <v/>
      </c>
      <c r="M87" s="9">
        <f>SUMIFS(Actuals!$O:$O,Actuals!$A:$A,$A87)</f>
        <v/>
      </c>
      <c r="N87" s="10">
        <f>SUM(B87:M87)</f>
        <v/>
      </c>
    </row>
    <row r="88">
      <c r="A88" s="5" t="inlineStr">
        <is>
          <t>Direct Workers Comp - PRD</t>
        </is>
      </c>
      <c r="B88" s="9">
        <f>SUMIFS(Actuals!$D:$D,Actuals!$A:$A,$A88)</f>
        <v/>
      </c>
      <c r="C88" s="9">
        <f>SUMIFS(Actuals!$E:$E,Actuals!$A:$A,$A88)</f>
        <v/>
      </c>
      <c r="D88" s="9">
        <f>SUMIFS(Actuals!$F:$F,Actuals!$A:$A,$A88)</f>
        <v/>
      </c>
      <c r="E88" s="9">
        <f>SUMIFS(Actuals!$G:$G,Actuals!$A:$A,$A88)</f>
        <v/>
      </c>
      <c r="F88" s="9">
        <f>SUMIFS(Actuals!$H:$H,Actuals!$A:$A,$A88)</f>
        <v/>
      </c>
      <c r="G88" s="9">
        <f>SUMIFS(Actuals!$I:$I,Actuals!$A:$A,$A88)</f>
        <v/>
      </c>
      <c r="H88" s="9">
        <f>SUMIFS(Actuals!$J:$J,Actuals!$A:$A,$A88)</f>
        <v/>
      </c>
      <c r="I88" s="9">
        <f>SUMIFS(Actuals!$K:$K,Actuals!$A:$A,$A88)</f>
        <v/>
      </c>
      <c r="J88" s="9">
        <f>SUMIFS(Actuals!$L:$L,Actuals!$A:$A,$A88)</f>
        <v/>
      </c>
      <c r="K88" s="9">
        <f>SUMIFS(Actuals!$M:$M,Actuals!$A:$A,$A88)</f>
        <v/>
      </c>
      <c r="L88" s="9">
        <f>SUMIFS(Actuals!$N:$N,Actuals!$A:$A,$A88)</f>
        <v/>
      </c>
      <c r="M88" s="9">
        <f>SUMIFS(Actuals!$O:$O,Actuals!$A:$A,$A88)</f>
        <v/>
      </c>
      <c r="N88" s="10">
        <f>SUM(B88:M88)</f>
        <v/>
      </c>
    </row>
    <row r="89">
      <c r="A89" s="5" t="inlineStr">
        <is>
          <t>Direct Workers Comp - VID</t>
        </is>
      </c>
      <c r="B89" s="9">
        <f>SUMIFS(Actuals!$D:$D,Actuals!$A:$A,$A89)</f>
        <v/>
      </c>
      <c r="C89" s="9">
        <f>SUMIFS(Actuals!$E:$E,Actuals!$A:$A,$A89)</f>
        <v/>
      </c>
      <c r="D89" s="9">
        <f>SUMIFS(Actuals!$F:$F,Actuals!$A:$A,$A89)</f>
        <v/>
      </c>
      <c r="E89" s="9">
        <f>SUMIFS(Actuals!$G:$G,Actuals!$A:$A,$A89)</f>
        <v/>
      </c>
      <c r="F89" s="9">
        <f>SUMIFS(Actuals!$H:$H,Actuals!$A:$A,$A89)</f>
        <v/>
      </c>
      <c r="G89" s="9">
        <f>SUMIFS(Actuals!$I:$I,Actuals!$A:$A,$A89)</f>
        <v/>
      </c>
      <c r="H89" s="9">
        <f>SUMIFS(Actuals!$J:$J,Actuals!$A:$A,$A89)</f>
        <v/>
      </c>
      <c r="I89" s="9">
        <f>SUMIFS(Actuals!$K:$K,Actuals!$A:$A,$A89)</f>
        <v/>
      </c>
      <c r="J89" s="9">
        <f>SUMIFS(Actuals!$L:$L,Actuals!$A:$A,$A89)</f>
        <v/>
      </c>
      <c r="K89" s="9">
        <f>SUMIFS(Actuals!$M:$M,Actuals!$A:$A,$A89)</f>
        <v/>
      </c>
      <c r="L89" s="9">
        <f>SUMIFS(Actuals!$N:$N,Actuals!$A:$A,$A89)</f>
        <v/>
      </c>
      <c r="M89" s="9">
        <f>SUMIFS(Actuals!$O:$O,Actuals!$A:$A,$A89)</f>
        <v/>
      </c>
      <c r="N89" s="10">
        <f>SUM(B89:M89)</f>
        <v/>
      </c>
    </row>
    <row r="90">
      <c r="A90" s="5" t="inlineStr">
        <is>
          <t>Discounts Given</t>
        </is>
      </c>
      <c r="B90" s="9">
        <f>SUMIFS(Actuals!$D:$D,Actuals!$A:$A,$A90)</f>
        <v/>
      </c>
      <c r="C90" s="9">
        <f>SUMIFS(Actuals!$E:$E,Actuals!$A:$A,$A90)</f>
        <v/>
      </c>
      <c r="D90" s="9">
        <f>SUMIFS(Actuals!$F:$F,Actuals!$A:$A,$A90)</f>
        <v/>
      </c>
      <c r="E90" s="9">
        <f>SUMIFS(Actuals!$G:$G,Actuals!$A:$A,$A90)</f>
        <v/>
      </c>
      <c r="F90" s="9">
        <f>SUMIFS(Actuals!$H:$H,Actuals!$A:$A,$A90)</f>
        <v/>
      </c>
      <c r="G90" s="9">
        <f>SUMIFS(Actuals!$I:$I,Actuals!$A:$A,$A90)</f>
        <v/>
      </c>
      <c r="H90" s="9">
        <f>SUMIFS(Actuals!$J:$J,Actuals!$A:$A,$A90)</f>
        <v/>
      </c>
      <c r="I90" s="9">
        <f>SUMIFS(Actuals!$K:$K,Actuals!$A:$A,$A90)</f>
        <v/>
      </c>
      <c r="J90" s="9">
        <f>SUMIFS(Actuals!$L:$L,Actuals!$A:$A,$A90)</f>
        <v/>
      </c>
      <c r="K90" s="9">
        <f>SUMIFS(Actuals!$M:$M,Actuals!$A:$A,$A90)</f>
        <v/>
      </c>
      <c r="L90" s="9">
        <f>SUMIFS(Actuals!$N:$N,Actuals!$A:$A,$A90)</f>
        <v/>
      </c>
      <c r="M90" s="9">
        <f>SUMIFS(Actuals!$O:$O,Actuals!$A:$A,$A90)</f>
        <v/>
      </c>
      <c r="N90" s="10">
        <f>SUM(B90:M90)</f>
        <v/>
      </c>
    </row>
    <row r="91">
      <c r="A91" s="5" t="inlineStr">
        <is>
          <t>Equipment - Hires</t>
        </is>
      </c>
      <c r="B91" s="9">
        <f>SUMIFS(Actuals!$D:$D,Actuals!$A:$A,$A91)</f>
        <v/>
      </c>
      <c r="C91" s="9">
        <f>SUMIFS(Actuals!$E:$E,Actuals!$A:$A,$A91)</f>
        <v/>
      </c>
      <c r="D91" s="9">
        <f>SUMIFS(Actuals!$F:$F,Actuals!$A:$A,$A91)</f>
        <v/>
      </c>
      <c r="E91" s="9">
        <f>SUMIFS(Actuals!$G:$G,Actuals!$A:$A,$A91)</f>
        <v/>
      </c>
      <c r="F91" s="9">
        <f>SUMIFS(Actuals!$H:$H,Actuals!$A:$A,$A91)</f>
        <v/>
      </c>
      <c r="G91" s="9">
        <f>SUMIFS(Actuals!$I:$I,Actuals!$A:$A,$A91)</f>
        <v/>
      </c>
      <c r="H91" s="9">
        <f>SUMIFS(Actuals!$J:$J,Actuals!$A:$A,$A91)</f>
        <v/>
      </c>
      <c r="I91" s="9">
        <f>SUMIFS(Actuals!$K:$K,Actuals!$A:$A,$A91)</f>
        <v/>
      </c>
      <c r="J91" s="9">
        <f>SUMIFS(Actuals!$L:$L,Actuals!$A:$A,$A91)</f>
        <v/>
      </c>
      <c r="K91" s="9">
        <f>SUMIFS(Actuals!$M:$M,Actuals!$A:$A,$A91)</f>
        <v/>
      </c>
      <c r="L91" s="9">
        <f>SUMIFS(Actuals!$N:$N,Actuals!$A:$A,$A91)</f>
        <v/>
      </c>
      <c r="M91" s="9">
        <f>SUMIFS(Actuals!$O:$O,Actuals!$A:$A,$A91)</f>
        <v/>
      </c>
      <c r="N91" s="10">
        <f>SUM(B91:M91)</f>
        <v/>
      </c>
    </row>
    <row r="92">
      <c r="A92" s="5" t="inlineStr">
        <is>
          <t>Equipment - Purchase</t>
        </is>
      </c>
      <c r="B92" s="9">
        <f>SUMIFS(Actuals!$D:$D,Actuals!$A:$A,$A92)</f>
        <v/>
      </c>
      <c r="C92" s="9">
        <f>SUMIFS(Actuals!$E:$E,Actuals!$A:$A,$A92)</f>
        <v/>
      </c>
      <c r="D92" s="9">
        <f>SUMIFS(Actuals!$F:$F,Actuals!$A:$A,$A92)</f>
        <v/>
      </c>
      <c r="E92" s="9">
        <f>SUMIFS(Actuals!$G:$G,Actuals!$A:$A,$A92)</f>
        <v/>
      </c>
      <c r="F92" s="9">
        <f>SUMIFS(Actuals!$H:$H,Actuals!$A:$A,$A92)</f>
        <v/>
      </c>
      <c r="G92" s="9">
        <f>SUMIFS(Actuals!$I:$I,Actuals!$A:$A,$A92)</f>
        <v/>
      </c>
      <c r="H92" s="9">
        <f>SUMIFS(Actuals!$J:$J,Actuals!$A:$A,$A92)</f>
        <v/>
      </c>
      <c r="I92" s="9">
        <f>SUMIFS(Actuals!$K:$K,Actuals!$A:$A,$A92)</f>
        <v/>
      </c>
      <c r="J92" s="9">
        <f>SUMIFS(Actuals!$L:$L,Actuals!$A:$A,$A92)</f>
        <v/>
      </c>
      <c r="K92" s="9">
        <f>SUMIFS(Actuals!$M:$M,Actuals!$A:$A,$A92)</f>
        <v/>
      </c>
      <c r="L92" s="9">
        <f>SUMIFS(Actuals!$N:$N,Actuals!$A:$A,$A92)</f>
        <v/>
      </c>
      <c r="M92" s="9">
        <f>SUMIFS(Actuals!$O:$O,Actuals!$A:$A,$A92)</f>
        <v/>
      </c>
      <c r="N92" s="10">
        <f>SUM(B92:M92)</f>
        <v/>
      </c>
    </row>
    <row r="93">
      <c r="A93" s="5" t="inlineStr">
        <is>
          <t>Equipment -Maintenance Support</t>
        </is>
      </c>
      <c r="B93" s="9">
        <f>SUMIFS(Actuals!$D:$D,Actuals!$A:$A,$A93)</f>
        <v/>
      </c>
      <c r="C93" s="9">
        <f>SUMIFS(Actuals!$E:$E,Actuals!$A:$A,$A93)</f>
        <v/>
      </c>
      <c r="D93" s="9">
        <f>SUMIFS(Actuals!$F:$F,Actuals!$A:$A,$A93)</f>
        <v/>
      </c>
      <c r="E93" s="9">
        <f>SUMIFS(Actuals!$G:$G,Actuals!$A:$A,$A93)</f>
        <v/>
      </c>
      <c r="F93" s="9">
        <f>SUMIFS(Actuals!$H:$H,Actuals!$A:$A,$A93)</f>
        <v/>
      </c>
      <c r="G93" s="9">
        <f>SUMIFS(Actuals!$I:$I,Actuals!$A:$A,$A93)</f>
        <v/>
      </c>
      <c r="H93" s="9">
        <f>SUMIFS(Actuals!$J:$J,Actuals!$A:$A,$A93)</f>
        <v/>
      </c>
      <c r="I93" s="9">
        <f>SUMIFS(Actuals!$K:$K,Actuals!$A:$A,$A93)</f>
        <v/>
      </c>
      <c r="J93" s="9">
        <f>SUMIFS(Actuals!$L:$L,Actuals!$A:$A,$A93)</f>
        <v/>
      </c>
      <c r="K93" s="9">
        <f>SUMIFS(Actuals!$M:$M,Actuals!$A:$A,$A93)</f>
        <v/>
      </c>
      <c r="L93" s="9">
        <f>SUMIFS(Actuals!$N:$N,Actuals!$A:$A,$A93)</f>
        <v/>
      </c>
      <c r="M93" s="9">
        <f>SUMIFS(Actuals!$O:$O,Actuals!$A:$A,$A93)</f>
        <v/>
      </c>
      <c r="N93" s="10">
        <f>SUM(B93:M93)</f>
        <v/>
      </c>
    </row>
    <row r="94">
      <c r="A94" s="5" t="inlineStr">
        <is>
          <t>Service - hires</t>
        </is>
      </c>
      <c r="B94" s="9">
        <f>SUMIFS(Actuals!$D:$D,Actuals!$A:$A,$A94)</f>
        <v/>
      </c>
      <c r="C94" s="9">
        <f>SUMIFS(Actuals!$E:$E,Actuals!$A:$A,$A94)</f>
        <v/>
      </c>
      <c r="D94" s="9">
        <f>SUMIFS(Actuals!$F:$F,Actuals!$A:$A,$A94)</f>
        <v/>
      </c>
      <c r="E94" s="9">
        <f>SUMIFS(Actuals!$G:$G,Actuals!$A:$A,$A94)</f>
        <v/>
      </c>
      <c r="F94" s="9">
        <f>SUMIFS(Actuals!$H:$H,Actuals!$A:$A,$A94)</f>
        <v/>
      </c>
      <c r="G94" s="9">
        <f>SUMIFS(Actuals!$I:$I,Actuals!$A:$A,$A94)</f>
        <v/>
      </c>
      <c r="H94" s="9">
        <f>SUMIFS(Actuals!$J:$J,Actuals!$A:$A,$A94)</f>
        <v/>
      </c>
      <c r="I94" s="9">
        <f>SUMIFS(Actuals!$K:$K,Actuals!$A:$A,$A94)</f>
        <v/>
      </c>
      <c r="J94" s="9">
        <f>SUMIFS(Actuals!$L:$L,Actuals!$A:$A,$A94)</f>
        <v/>
      </c>
      <c r="K94" s="9">
        <f>SUMIFS(Actuals!$M:$M,Actuals!$A:$A,$A94)</f>
        <v/>
      </c>
      <c r="L94" s="9">
        <f>SUMIFS(Actuals!$N:$N,Actuals!$A:$A,$A94)</f>
        <v/>
      </c>
      <c r="M94" s="9">
        <f>SUMIFS(Actuals!$O:$O,Actuals!$A:$A,$A94)</f>
        <v/>
      </c>
      <c r="N94" s="10">
        <f>SUM(B94:M94)</f>
        <v/>
      </c>
    </row>
    <row r="95">
      <c r="A95" s="5" t="inlineStr">
        <is>
          <t>Stamp Duty</t>
        </is>
      </c>
      <c r="B95" s="9">
        <f>SUMIFS(Actuals!$D:$D,Actuals!$A:$A,$A95)</f>
        <v/>
      </c>
      <c r="C95" s="9">
        <f>SUMIFS(Actuals!$E:$E,Actuals!$A:$A,$A95)</f>
        <v/>
      </c>
      <c r="D95" s="9">
        <f>SUMIFS(Actuals!$F:$F,Actuals!$A:$A,$A95)</f>
        <v/>
      </c>
      <c r="E95" s="9">
        <f>SUMIFS(Actuals!$G:$G,Actuals!$A:$A,$A95)</f>
        <v/>
      </c>
      <c r="F95" s="9">
        <f>SUMIFS(Actuals!$H:$H,Actuals!$A:$A,$A95)</f>
        <v/>
      </c>
      <c r="G95" s="9">
        <f>SUMIFS(Actuals!$I:$I,Actuals!$A:$A,$A95)</f>
        <v/>
      </c>
      <c r="H95" s="9">
        <f>SUMIFS(Actuals!$J:$J,Actuals!$A:$A,$A95)</f>
        <v/>
      </c>
      <c r="I95" s="9">
        <f>SUMIFS(Actuals!$K:$K,Actuals!$A:$A,$A95)</f>
        <v/>
      </c>
      <c r="J95" s="9">
        <f>SUMIFS(Actuals!$L:$L,Actuals!$A:$A,$A95)</f>
        <v/>
      </c>
      <c r="K95" s="9">
        <f>SUMIFS(Actuals!$M:$M,Actuals!$A:$A,$A95)</f>
        <v/>
      </c>
      <c r="L95" s="9">
        <f>SUMIFS(Actuals!$N:$N,Actuals!$A:$A,$A95)</f>
        <v/>
      </c>
      <c r="M95" s="9">
        <f>SUMIFS(Actuals!$O:$O,Actuals!$A:$A,$A95)</f>
        <v/>
      </c>
      <c r="N95" s="10">
        <f>SUM(B95:M95)</f>
        <v/>
      </c>
    </row>
    <row r="96">
      <c r="A96" s="5" t="inlineStr">
        <is>
          <t>Sub-Contract Labour - ADMIN</t>
        </is>
      </c>
      <c r="B96" s="9">
        <f>SUMIFS(Actuals!$D:$D,Actuals!$A:$A,$A96)</f>
        <v/>
      </c>
      <c r="C96" s="9">
        <f>SUMIFS(Actuals!$E:$E,Actuals!$A:$A,$A96)</f>
        <v/>
      </c>
      <c r="D96" s="9">
        <f>SUMIFS(Actuals!$F:$F,Actuals!$A:$A,$A96)</f>
        <v/>
      </c>
      <c r="E96" s="9">
        <f>SUMIFS(Actuals!$G:$G,Actuals!$A:$A,$A96)</f>
        <v/>
      </c>
      <c r="F96" s="9">
        <f>SUMIFS(Actuals!$H:$H,Actuals!$A:$A,$A96)</f>
        <v/>
      </c>
      <c r="G96" s="9">
        <f>SUMIFS(Actuals!$I:$I,Actuals!$A:$A,$A96)</f>
        <v/>
      </c>
      <c r="H96" s="9">
        <f>SUMIFS(Actuals!$J:$J,Actuals!$A:$A,$A96)</f>
        <v/>
      </c>
      <c r="I96" s="9">
        <f>SUMIFS(Actuals!$K:$K,Actuals!$A:$A,$A96)</f>
        <v/>
      </c>
      <c r="J96" s="9">
        <f>SUMIFS(Actuals!$L:$L,Actuals!$A:$A,$A96)</f>
        <v/>
      </c>
      <c r="K96" s="9">
        <f>SUMIFS(Actuals!$M:$M,Actuals!$A:$A,$A96)</f>
        <v/>
      </c>
      <c r="L96" s="9">
        <f>SUMIFS(Actuals!$N:$N,Actuals!$A:$A,$A96)</f>
        <v/>
      </c>
      <c r="M96" s="9">
        <f>SUMIFS(Actuals!$O:$O,Actuals!$A:$A,$A96)</f>
        <v/>
      </c>
      <c r="N96" s="10">
        <f>SUM(B96:M96)</f>
        <v/>
      </c>
    </row>
    <row r="97">
      <c r="A97" s="5" t="inlineStr">
        <is>
          <t>Sub-Contract Labour - CONS</t>
        </is>
      </c>
      <c r="B97" s="9">
        <f>SUMIFS(Actuals!$D:$D,Actuals!$A:$A,$A97)</f>
        <v/>
      </c>
      <c r="C97" s="9">
        <f>SUMIFS(Actuals!$E:$E,Actuals!$A:$A,$A97)</f>
        <v/>
      </c>
      <c r="D97" s="9">
        <f>SUMIFS(Actuals!$F:$F,Actuals!$A:$A,$A97)</f>
        <v/>
      </c>
      <c r="E97" s="9">
        <f>SUMIFS(Actuals!$G:$G,Actuals!$A:$A,$A97)</f>
        <v/>
      </c>
      <c r="F97" s="9">
        <f>SUMIFS(Actuals!$H:$H,Actuals!$A:$A,$A97)</f>
        <v/>
      </c>
      <c r="G97" s="9">
        <f>SUMIFS(Actuals!$I:$I,Actuals!$A:$A,$A97)</f>
        <v/>
      </c>
      <c r="H97" s="9">
        <f>SUMIFS(Actuals!$J:$J,Actuals!$A:$A,$A97)</f>
        <v/>
      </c>
      <c r="I97" s="9">
        <f>SUMIFS(Actuals!$K:$K,Actuals!$A:$A,$A97)</f>
        <v/>
      </c>
      <c r="J97" s="9">
        <f>SUMIFS(Actuals!$L:$L,Actuals!$A:$A,$A97)</f>
        <v/>
      </c>
      <c r="K97" s="9">
        <f>SUMIFS(Actuals!$M:$M,Actuals!$A:$A,$A97)</f>
        <v/>
      </c>
      <c r="L97" s="9">
        <f>SUMIFS(Actuals!$N:$N,Actuals!$A:$A,$A97)</f>
        <v/>
      </c>
      <c r="M97" s="9">
        <f>SUMIFS(Actuals!$O:$O,Actuals!$A:$A,$A97)</f>
        <v/>
      </c>
      <c r="N97" s="10">
        <f>SUM(B97:M97)</f>
        <v/>
      </c>
    </row>
    <row r="98">
      <c r="A98" s="5" t="inlineStr">
        <is>
          <t>Sub-Contract Labour - INTEGRATION</t>
        </is>
      </c>
      <c r="B98" s="9">
        <f>SUMIFS(Actuals!$D:$D,Actuals!$A:$A,$A98)</f>
        <v/>
      </c>
      <c r="C98" s="9">
        <f>SUMIFS(Actuals!$E:$E,Actuals!$A:$A,$A98)</f>
        <v/>
      </c>
      <c r="D98" s="9">
        <f>SUMIFS(Actuals!$F:$F,Actuals!$A:$A,$A98)</f>
        <v/>
      </c>
      <c r="E98" s="9">
        <f>SUMIFS(Actuals!$G:$G,Actuals!$A:$A,$A98)</f>
        <v/>
      </c>
      <c r="F98" s="9">
        <f>SUMIFS(Actuals!$H:$H,Actuals!$A:$A,$A98)</f>
        <v/>
      </c>
      <c r="G98" s="9">
        <f>SUMIFS(Actuals!$I:$I,Actuals!$A:$A,$A98)</f>
        <v/>
      </c>
      <c r="H98" s="9">
        <f>SUMIFS(Actuals!$J:$J,Actuals!$A:$A,$A98)</f>
        <v/>
      </c>
      <c r="I98" s="9">
        <f>SUMIFS(Actuals!$K:$K,Actuals!$A:$A,$A98)</f>
        <v/>
      </c>
      <c r="J98" s="9">
        <f>SUMIFS(Actuals!$L:$L,Actuals!$A:$A,$A98)</f>
        <v/>
      </c>
      <c r="K98" s="9">
        <f>SUMIFS(Actuals!$M:$M,Actuals!$A:$A,$A98)</f>
        <v/>
      </c>
      <c r="L98" s="9">
        <f>SUMIFS(Actuals!$N:$N,Actuals!$A:$A,$A98)</f>
        <v/>
      </c>
      <c r="M98" s="9">
        <f>SUMIFS(Actuals!$O:$O,Actuals!$A:$A,$A98)</f>
        <v/>
      </c>
      <c r="N98" s="10">
        <f>SUM(B98:M98)</f>
        <v/>
      </c>
    </row>
    <row r="99">
      <c r="A99" s="5" t="inlineStr">
        <is>
          <t>Sub-Contract Labour - ONS</t>
        </is>
      </c>
      <c r="B99" s="9">
        <f>SUMIFS(Actuals!$D:$D,Actuals!$A:$A,$A99)</f>
        <v/>
      </c>
      <c r="C99" s="9">
        <f>SUMIFS(Actuals!$E:$E,Actuals!$A:$A,$A99)</f>
        <v/>
      </c>
      <c r="D99" s="9">
        <f>SUMIFS(Actuals!$F:$F,Actuals!$A:$A,$A99)</f>
        <v/>
      </c>
      <c r="E99" s="9">
        <f>SUMIFS(Actuals!$G:$G,Actuals!$A:$A,$A99)</f>
        <v/>
      </c>
      <c r="F99" s="9">
        <f>SUMIFS(Actuals!$H:$H,Actuals!$A:$A,$A99)</f>
        <v/>
      </c>
      <c r="G99" s="9">
        <f>SUMIFS(Actuals!$I:$I,Actuals!$A:$A,$A99)</f>
        <v/>
      </c>
      <c r="H99" s="9">
        <f>SUMIFS(Actuals!$J:$J,Actuals!$A:$A,$A99)</f>
        <v/>
      </c>
      <c r="I99" s="9">
        <f>SUMIFS(Actuals!$K:$K,Actuals!$A:$A,$A99)</f>
        <v/>
      </c>
      <c r="J99" s="9">
        <f>SUMIFS(Actuals!$L:$L,Actuals!$A:$A,$A99)</f>
        <v/>
      </c>
      <c r="K99" s="9">
        <f>SUMIFS(Actuals!$M:$M,Actuals!$A:$A,$A99)</f>
        <v/>
      </c>
      <c r="L99" s="9">
        <f>SUMIFS(Actuals!$N:$N,Actuals!$A:$A,$A99)</f>
        <v/>
      </c>
      <c r="M99" s="9">
        <f>SUMIFS(Actuals!$O:$O,Actuals!$A:$A,$A99)</f>
        <v/>
      </c>
      <c r="N99" s="10">
        <f>SUM(B99:M99)</f>
        <v/>
      </c>
    </row>
    <row r="100">
      <c r="A100" s="5" t="inlineStr">
        <is>
          <t>Sub-Contract Labour - PRD</t>
        </is>
      </c>
      <c r="B100" s="9">
        <f>SUMIFS(Actuals!$D:$D,Actuals!$A:$A,$A100)</f>
        <v/>
      </c>
      <c r="C100" s="9">
        <f>SUMIFS(Actuals!$E:$E,Actuals!$A:$A,$A100)</f>
        <v/>
      </c>
      <c r="D100" s="9">
        <f>SUMIFS(Actuals!$F:$F,Actuals!$A:$A,$A100)</f>
        <v/>
      </c>
      <c r="E100" s="9">
        <f>SUMIFS(Actuals!$G:$G,Actuals!$A:$A,$A100)</f>
        <v/>
      </c>
      <c r="F100" s="9">
        <f>SUMIFS(Actuals!$H:$H,Actuals!$A:$A,$A100)</f>
        <v/>
      </c>
      <c r="G100" s="9">
        <f>SUMIFS(Actuals!$I:$I,Actuals!$A:$A,$A100)</f>
        <v/>
      </c>
      <c r="H100" s="9">
        <f>SUMIFS(Actuals!$J:$J,Actuals!$A:$A,$A100)</f>
        <v/>
      </c>
      <c r="I100" s="9">
        <f>SUMIFS(Actuals!$K:$K,Actuals!$A:$A,$A100)</f>
        <v/>
      </c>
      <c r="J100" s="9">
        <f>SUMIFS(Actuals!$L:$L,Actuals!$A:$A,$A100)</f>
        <v/>
      </c>
      <c r="K100" s="9">
        <f>SUMIFS(Actuals!$M:$M,Actuals!$A:$A,$A100)</f>
        <v/>
      </c>
      <c r="L100" s="9">
        <f>SUMIFS(Actuals!$N:$N,Actuals!$A:$A,$A100)</f>
        <v/>
      </c>
      <c r="M100" s="9">
        <f>SUMIFS(Actuals!$O:$O,Actuals!$A:$A,$A100)</f>
        <v/>
      </c>
      <c r="N100" s="10">
        <f>SUM(B100:M100)</f>
        <v/>
      </c>
    </row>
    <row r="101">
      <c r="A101" s="5" t="inlineStr">
        <is>
          <t>Sub-Contract Labour - VID</t>
        </is>
      </c>
      <c r="B101" s="9">
        <f>SUMIFS(Actuals!$D:$D,Actuals!$A:$A,$A101)</f>
        <v/>
      </c>
      <c r="C101" s="9">
        <f>SUMIFS(Actuals!$E:$E,Actuals!$A:$A,$A101)</f>
        <v/>
      </c>
      <c r="D101" s="9">
        <f>SUMIFS(Actuals!$F:$F,Actuals!$A:$A,$A101)</f>
        <v/>
      </c>
      <c r="E101" s="9">
        <f>SUMIFS(Actuals!$G:$G,Actuals!$A:$A,$A101)</f>
        <v/>
      </c>
      <c r="F101" s="9">
        <f>SUMIFS(Actuals!$H:$H,Actuals!$A:$A,$A101)</f>
        <v/>
      </c>
      <c r="G101" s="9">
        <f>SUMIFS(Actuals!$I:$I,Actuals!$A:$A,$A101)</f>
        <v/>
      </c>
      <c r="H101" s="9">
        <f>SUMIFS(Actuals!$J:$J,Actuals!$A:$A,$A101)</f>
        <v/>
      </c>
      <c r="I101" s="9">
        <f>SUMIFS(Actuals!$K:$K,Actuals!$A:$A,$A101)</f>
        <v/>
      </c>
      <c r="J101" s="9">
        <f>SUMIFS(Actuals!$L:$L,Actuals!$A:$A,$A101)</f>
        <v/>
      </c>
      <c r="K101" s="9">
        <f>SUMIFS(Actuals!$M:$M,Actuals!$A:$A,$A101)</f>
        <v/>
      </c>
      <c r="L101" s="9">
        <f>SUMIFS(Actuals!$N:$N,Actuals!$A:$A,$A101)</f>
        <v/>
      </c>
      <c r="M101" s="9">
        <f>SUMIFS(Actuals!$O:$O,Actuals!$A:$A,$A101)</f>
        <v/>
      </c>
      <c r="N101" s="10">
        <f>SUM(B101:M101)</f>
        <v/>
      </c>
    </row>
    <row r="102">
      <c r="A102" s="5" t="inlineStr">
        <is>
          <t>Subscriptions &amp; Licences - Expense</t>
        </is>
      </c>
      <c r="B102" s="9">
        <f>SUMIFS(Actuals!$D:$D,Actuals!$A:$A,$A102)</f>
        <v/>
      </c>
      <c r="C102" s="9">
        <f>SUMIFS(Actuals!$E:$E,Actuals!$A:$A,$A102)</f>
        <v/>
      </c>
      <c r="D102" s="9">
        <f>SUMIFS(Actuals!$F:$F,Actuals!$A:$A,$A102)</f>
        <v/>
      </c>
      <c r="E102" s="9">
        <f>SUMIFS(Actuals!$G:$G,Actuals!$A:$A,$A102)</f>
        <v/>
      </c>
      <c r="F102" s="9">
        <f>SUMIFS(Actuals!$H:$H,Actuals!$A:$A,$A102)</f>
        <v/>
      </c>
      <c r="G102" s="9">
        <f>SUMIFS(Actuals!$I:$I,Actuals!$A:$A,$A102)</f>
        <v/>
      </c>
      <c r="H102" s="9">
        <f>SUMIFS(Actuals!$J:$J,Actuals!$A:$A,$A102)</f>
        <v/>
      </c>
      <c r="I102" s="9">
        <f>SUMIFS(Actuals!$K:$K,Actuals!$A:$A,$A102)</f>
        <v/>
      </c>
      <c r="J102" s="9">
        <f>SUMIFS(Actuals!$L:$L,Actuals!$A:$A,$A102)</f>
        <v/>
      </c>
      <c r="K102" s="9">
        <f>SUMIFS(Actuals!$M:$M,Actuals!$A:$A,$A102)</f>
        <v/>
      </c>
      <c r="L102" s="9">
        <f>SUMIFS(Actuals!$N:$N,Actuals!$A:$A,$A102)</f>
        <v/>
      </c>
      <c r="M102" s="9">
        <f>SUMIFS(Actuals!$O:$O,Actuals!$A:$A,$A102)</f>
        <v/>
      </c>
      <c r="N102" s="10">
        <f>SUM(B102:M102)</f>
        <v/>
      </c>
    </row>
    <row r="103">
      <c r="A103" s="5" t="inlineStr">
        <is>
          <t>Supplier Per Diems - ADMIN</t>
        </is>
      </c>
      <c r="B103" s="9">
        <f>SUMIFS(Actuals!$D:$D,Actuals!$A:$A,$A103)</f>
        <v/>
      </c>
      <c r="C103" s="9">
        <f>SUMIFS(Actuals!$E:$E,Actuals!$A:$A,$A103)</f>
        <v/>
      </c>
      <c r="D103" s="9">
        <f>SUMIFS(Actuals!$F:$F,Actuals!$A:$A,$A103)</f>
        <v/>
      </c>
      <c r="E103" s="9">
        <f>SUMIFS(Actuals!$G:$G,Actuals!$A:$A,$A103)</f>
        <v/>
      </c>
      <c r="F103" s="9">
        <f>SUMIFS(Actuals!$H:$H,Actuals!$A:$A,$A103)</f>
        <v/>
      </c>
      <c r="G103" s="9">
        <f>SUMIFS(Actuals!$I:$I,Actuals!$A:$A,$A103)</f>
        <v/>
      </c>
      <c r="H103" s="9">
        <f>SUMIFS(Actuals!$J:$J,Actuals!$A:$A,$A103)</f>
        <v/>
      </c>
      <c r="I103" s="9">
        <f>SUMIFS(Actuals!$K:$K,Actuals!$A:$A,$A103)</f>
        <v/>
      </c>
      <c r="J103" s="9">
        <f>SUMIFS(Actuals!$L:$L,Actuals!$A:$A,$A103)</f>
        <v/>
      </c>
      <c r="K103" s="9">
        <f>SUMIFS(Actuals!$M:$M,Actuals!$A:$A,$A103)</f>
        <v/>
      </c>
      <c r="L103" s="9">
        <f>SUMIFS(Actuals!$N:$N,Actuals!$A:$A,$A103)</f>
        <v/>
      </c>
      <c r="M103" s="9">
        <f>SUMIFS(Actuals!$O:$O,Actuals!$A:$A,$A103)</f>
        <v/>
      </c>
      <c r="N103" s="10">
        <f>SUM(B103:M103)</f>
        <v/>
      </c>
    </row>
    <row r="104">
      <c r="A104" s="5" t="inlineStr">
        <is>
          <t>Supplier Per Diems - CONS</t>
        </is>
      </c>
      <c r="B104" s="9">
        <f>SUMIFS(Actuals!$D:$D,Actuals!$A:$A,$A104)</f>
        <v/>
      </c>
      <c r="C104" s="9">
        <f>SUMIFS(Actuals!$E:$E,Actuals!$A:$A,$A104)</f>
        <v/>
      </c>
      <c r="D104" s="9">
        <f>SUMIFS(Actuals!$F:$F,Actuals!$A:$A,$A104)</f>
        <v/>
      </c>
      <c r="E104" s="9">
        <f>SUMIFS(Actuals!$G:$G,Actuals!$A:$A,$A104)</f>
        <v/>
      </c>
      <c r="F104" s="9">
        <f>SUMIFS(Actuals!$H:$H,Actuals!$A:$A,$A104)</f>
        <v/>
      </c>
      <c r="G104" s="9">
        <f>SUMIFS(Actuals!$I:$I,Actuals!$A:$A,$A104)</f>
        <v/>
      </c>
      <c r="H104" s="9">
        <f>SUMIFS(Actuals!$J:$J,Actuals!$A:$A,$A104)</f>
        <v/>
      </c>
      <c r="I104" s="9">
        <f>SUMIFS(Actuals!$K:$K,Actuals!$A:$A,$A104)</f>
        <v/>
      </c>
      <c r="J104" s="9">
        <f>SUMIFS(Actuals!$L:$L,Actuals!$A:$A,$A104)</f>
        <v/>
      </c>
      <c r="K104" s="9">
        <f>SUMIFS(Actuals!$M:$M,Actuals!$A:$A,$A104)</f>
        <v/>
      </c>
      <c r="L104" s="9">
        <f>SUMIFS(Actuals!$N:$N,Actuals!$A:$A,$A104)</f>
        <v/>
      </c>
      <c r="M104" s="9">
        <f>SUMIFS(Actuals!$O:$O,Actuals!$A:$A,$A104)</f>
        <v/>
      </c>
      <c r="N104" s="10">
        <f>SUM(B104:M104)</f>
        <v/>
      </c>
    </row>
    <row r="105">
      <c r="A105" s="5" t="inlineStr">
        <is>
          <t>Supplier Per Diems - INTEGRATION</t>
        </is>
      </c>
      <c r="B105" s="9">
        <f>SUMIFS(Actuals!$D:$D,Actuals!$A:$A,$A105)</f>
        <v/>
      </c>
      <c r="C105" s="9">
        <f>SUMIFS(Actuals!$E:$E,Actuals!$A:$A,$A105)</f>
        <v/>
      </c>
      <c r="D105" s="9">
        <f>SUMIFS(Actuals!$F:$F,Actuals!$A:$A,$A105)</f>
        <v/>
      </c>
      <c r="E105" s="9">
        <f>SUMIFS(Actuals!$G:$G,Actuals!$A:$A,$A105)</f>
        <v/>
      </c>
      <c r="F105" s="9">
        <f>SUMIFS(Actuals!$H:$H,Actuals!$A:$A,$A105)</f>
        <v/>
      </c>
      <c r="G105" s="9">
        <f>SUMIFS(Actuals!$I:$I,Actuals!$A:$A,$A105)</f>
        <v/>
      </c>
      <c r="H105" s="9">
        <f>SUMIFS(Actuals!$J:$J,Actuals!$A:$A,$A105)</f>
        <v/>
      </c>
      <c r="I105" s="9">
        <f>SUMIFS(Actuals!$K:$K,Actuals!$A:$A,$A105)</f>
        <v/>
      </c>
      <c r="J105" s="9">
        <f>SUMIFS(Actuals!$L:$L,Actuals!$A:$A,$A105)</f>
        <v/>
      </c>
      <c r="K105" s="9">
        <f>SUMIFS(Actuals!$M:$M,Actuals!$A:$A,$A105)</f>
        <v/>
      </c>
      <c r="L105" s="9">
        <f>SUMIFS(Actuals!$N:$N,Actuals!$A:$A,$A105)</f>
        <v/>
      </c>
      <c r="M105" s="9">
        <f>SUMIFS(Actuals!$O:$O,Actuals!$A:$A,$A105)</f>
        <v/>
      </c>
      <c r="N105" s="10">
        <f>SUM(B105:M105)</f>
        <v/>
      </c>
    </row>
    <row r="106">
      <c r="A106" s="5" t="inlineStr">
        <is>
          <t>Supplier Per Diems - ONS</t>
        </is>
      </c>
      <c r="B106" s="9">
        <f>SUMIFS(Actuals!$D:$D,Actuals!$A:$A,$A106)</f>
        <v/>
      </c>
      <c r="C106" s="9">
        <f>SUMIFS(Actuals!$E:$E,Actuals!$A:$A,$A106)</f>
        <v/>
      </c>
      <c r="D106" s="9">
        <f>SUMIFS(Actuals!$F:$F,Actuals!$A:$A,$A106)</f>
        <v/>
      </c>
      <c r="E106" s="9">
        <f>SUMIFS(Actuals!$G:$G,Actuals!$A:$A,$A106)</f>
        <v/>
      </c>
      <c r="F106" s="9">
        <f>SUMIFS(Actuals!$H:$H,Actuals!$A:$A,$A106)</f>
        <v/>
      </c>
      <c r="G106" s="9">
        <f>SUMIFS(Actuals!$I:$I,Actuals!$A:$A,$A106)</f>
        <v/>
      </c>
      <c r="H106" s="9">
        <f>SUMIFS(Actuals!$J:$J,Actuals!$A:$A,$A106)</f>
        <v/>
      </c>
      <c r="I106" s="9">
        <f>SUMIFS(Actuals!$K:$K,Actuals!$A:$A,$A106)</f>
        <v/>
      </c>
      <c r="J106" s="9">
        <f>SUMIFS(Actuals!$L:$L,Actuals!$A:$A,$A106)</f>
        <v/>
      </c>
      <c r="K106" s="9">
        <f>SUMIFS(Actuals!$M:$M,Actuals!$A:$A,$A106)</f>
        <v/>
      </c>
      <c r="L106" s="9">
        <f>SUMIFS(Actuals!$N:$N,Actuals!$A:$A,$A106)</f>
        <v/>
      </c>
      <c r="M106" s="9">
        <f>SUMIFS(Actuals!$O:$O,Actuals!$A:$A,$A106)</f>
        <v/>
      </c>
      <c r="N106" s="10">
        <f>SUM(B106:M106)</f>
        <v/>
      </c>
    </row>
    <row r="107">
      <c r="A107" s="5" t="inlineStr">
        <is>
          <t>Supplier Per Diems - PRD</t>
        </is>
      </c>
      <c r="B107" s="9">
        <f>SUMIFS(Actuals!$D:$D,Actuals!$A:$A,$A107)</f>
        <v/>
      </c>
      <c r="C107" s="9">
        <f>SUMIFS(Actuals!$E:$E,Actuals!$A:$A,$A107)</f>
        <v/>
      </c>
      <c r="D107" s="9">
        <f>SUMIFS(Actuals!$F:$F,Actuals!$A:$A,$A107)</f>
        <v/>
      </c>
      <c r="E107" s="9">
        <f>SUMIFS(Actuals!$G:$G,Actuals!$A:$A,$A107)</f>
        <v/>
      </c>
      <c r="F107" s="9">
        <f>SUMIFS(Actuals!$H:$H,Actuals!$A:$A,$A107)</f>
        <v/>
      </c>
      <c r="G107" s="9">
        <f>SUMIFS(Actuals!$I:$I,Actuals!$A:$A,$A107)</f>
        <v/>
      </c>
      <c r="H107" s="9">
        <f>SUMIFS(Actuals!$J:$J,Actuals!$A:$A,$A107)</f>
        <v/>
      </c>
      <c r="I107" s="9">
        <f>SUMIFS(Actuals!$K:$K,Actuals!$A:$A,$A107)</f>
        <v/>
      </c>
      <c r="J107" s="9">
        <f>SUMIFS(Actuals!$L:$L,Actuals!$A:$A,$A107)</f>
        <v/>
      </c>
      <c r="K107" s="9">
        <f>SUMIFS(Actuals!$M:$M,Actuals!$A:$A,$A107)</f>
        <v/>
      </c>
      <c r="L107" s="9">
        <f>SUMIFS(Actuals!$N:$N,Actuals!$A:$A,$A107)</f>
        <v/>
      </c>
      <c r="M107" s="9">
        <f>SUMIFS(Actuals!$O:$O,Actuals!$A:$A,$A107)</f>
        <v/>
      </c>
      <c r="N107" s="10">
        <f>SUM(B107:M107)</f>
        <v/>
      </c>
    </row>
    <row r="108">
      <c r="A108" s="5" t="inlineStr">
        <is>
          <t>Supplier Per Diems - VID</t>
        </is>
      </c>
      <c r="B108" s="9">
        <f>SUMIFS(Actuals!$D:$D,Actuals!$A:$A,$A108)</f>
        <v/>
      </c>
      <c r="C108" s="9">
        <f>SUMIFS(Actuals!$E:$E,Actuals!$A:$A,$A108)</f>
        <v/>
      </c>
      <c r="D108" s="9">
        <f>SUMIFS(Actuals!$F:$F,Actuals!$A:$A,$A108)</f>
        <v/>
      </c>
      <c r="E108" s="9">
        <f>SUMIFS(Actuals!$G:$G,Actuals!$A:$A,$A108)</f>
        <v/>
      </c>
      <c r="F108" s="9">
        <f>SUMIFS(Actuals!$H:$H,Actuals!$A:$A,$A108)</f>
        <v/>
      </c>
      <c r="G108" s="9">
        <f>SUMIFS(Actuals!$I:$I,Actuals!$A:$A,$A108)</f>
        <v/>
      </c>
      <c r="H108" s="9">
        <f>SUMIFS(Actuals!$J:$J,Actuals!$A:$A,$A108)</f>
        <v/>
      </c>
      <c r="I108" s="9">
        <f>SUMIFS(Actuals!$K:$K,Actuals!$A:$A,$A108)</f>
        <v/>
      </c>
      <c r="J108" s="9">
        <f>SUMIFS(Actuals!$L:$L,Actuals!$A:$A,$A108)</f>
        <v/>
      </c>
      <c r="K108" s="9">
        <f>SUMIFS(Actuals!$M:$M,Actuals!$A:$A,$A108)</f>
        <v/>
      </c>
      <c r="L108" s="9">
        <f>SUMIFS(Actuals!$N:$N,Actuals!$A:$A,$A108)</f>
        <v/>
      </c>
      <c r="M108" s="9">
        <f>SUMIFS(Actuals!$O:$O,Actuals!$A:$A,$A108)</f>
        <v/>
      </c>
      <c r="N108" s="10">
        <f>SUM(B108:M108)</f>
        <v/>
      </c>
    </row>
    <row r="109">
      <c r="A109" s="11" t="inlineStr">
        <is>
          <t>Total Cost of Sales</t>
        </is>
      </c>
      <c r="B109" s="12">
        <f>SUM(B43:B108)</f>
        <v/>
      </c>
      <c r="C109" s="12">
        <f>SUM(C43:C108)</f>
        <v/>
      </c>
      <c r="D109" s="12">
        <f>SUM(D43:D108)</f>
        <v/>
      </c>
      <c r="E109" s="12">
        <f>SUM(E43:E108)</f>
        <v/>
      </c>
      <c r="F109" s="12">
        <f>SUM(F43:F108)</f>
        <v/>
      </c>
      <c r="G109" s="12">
        <f>SUM(G43:G108)</f>
        <v/>
      </c>
      <c r="H109" s="12">
        <f>SUM(H43:H108)</f>
        <v/>
      </c>
      <c r="I109" s="12">
        <f>SUM(I43:I108)</f>
        <v/>
      </c>
      <c r="J109" s="12">
        <f>SUM(J43:J108)</f>
        <v/>
      </c>
      <c r="K109" s="12">
        <f>SUM(K43:K108)</f>
        <v/>
      </c>
      <c r="L109" s="12">
        <f>SUM(L43:L108)</f>
        <v/>
      </c>
      <c r="M109" s="12">
        <f>SUM(M43:M108)</f>
        <v/>
      </c>
      <c r="N109" s="12">
        <f>SUM(B109:M109)</f>
        <v/>
      </c>
    </row>
    <row r="111">
      <c r="A111" s="11" t="inlineStr">
        <is>
          <t>GROSS PROFIT</t>
        </is>
      </c>
      <c r="B111" s="12">
        <f>B40-B109</f>
        <v/>
      </c>
      <c r="C111" s="12">
        <f>C40-C109</f>
        <v/>
      </c>
      <c r="D111" s="12">
        <f>D40-D109</f>
        <v/>
      </c>
      <c r="E111" s="12">
        <f>E40-E109</f>
        <v/>
      </c>
      <c r="F111" s="12">
        <f>F40-F109</f>
        <v/>
      </c>
      <c r="G111" s="12">
        <f>G40-G109</f>
        <v/>
      </c>
      <c r="H111" s="12">
        <f>H40-H109</f>
        <v/>
      </c>
      <c r="I111" s="12">
        <f>I40-I109</f>
        <v/>
      </c>
      <c r="J111" s="12">
        <f>J40-J109</f>
        <v/>
      </c>
      <c r="K111" s="12">
        <f>K40-K109</f>
        <v/>
      </c>
      <c r="L111" s="12">
        <f>L40-L109</f>
        <v/>
      </c>
      <c r="M111" s="12">
        <f>M40-M109</f>
        <v/>
      </c>
      <c r="N111" s="12">
        <f>SUM(B111:M111)</f>
        <v/>
      </c>
    </row>
    <row r="112">
      <c r="A112" s="11" t="inlineStr">
        <is>
          <t>Gross Profit %</t>
        </is>
      </c>
      <c r="B112" s="13">
        <f>IFERROR(B111/B40,0)</f>
        <v/>
      </c>
      <c r="C112" s="13">
        <f>IFERROR(C111/C40,0)</f>
        <v/>
      </c>
      <c r="D112" s="13">
        <f>IFERROR(D111/D40,0)</f>
        <v/>
      </c>
      <c r="E112" s="13">
        <f>IFERROR(E111/E40,0)</f>
        <v/>
      </c>
      <c r="F112" s="13">
        <f>IFERROR(F111/F40,0)</f>
        <v/>
      </c>
      <c r="G112" s="13">
        <f>IFERROR(G111/G40,0)</f>
        <v/>
      </c>
      <c r="H112" s="13">
        <f>IFERROR(H111/H40,0)</f>
        <v/>
      </c>
      <c r="I112" s="13">
        <f>IFERROR(I111/I40,0)</f>
        <v/>
      </c>
      <c r="J112" s="13">
        <f>IFERROR(J111/J40,0)</f>
        <v/>
      </c>
      <c r="K112" s="13">
        <f>IFERROR(K111/K40,0)</f>
        <v/>
      </c>
      <c r="L112" s="13">
        <f>IFERROR(L111/L40,0)</f>
        <v/>
      </c>
      <c r="M112" s="13">
        <f>IFERROR(M111/M40,0)</f>
        <v/>
      </c>
      <c r="N112" s="13">
        <f>SUM(B112:M112)</f>
        <v/>
      </c>
    </row>
    <row r="114">
      <c r="A114" s="7" t="inlineStr">
        <is>
          <t>OTHER INCOME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5" t="inlineStr">
        <is>
          <t>Cash Flow Boost</t>
        </is>
      </c>
      <c r="B115" s="9">
        <f>SUMIFS(Actuals!$D:$D,Actuals!$A:$A,$A115)</f>
        <v/>
      </c>
      <c r="C115" s="9">
        <f>SUMIFS(Actuals!$E:$E,Actuals!$A:$A,$A115)</f>
        <v/>
      </c>
      <c r="D115" s="9">
        <f>SUMIFS(Actuals!$F:$F,Actuals!$A:$A,$A115)</f>
        <v/>
      </c>
      <c r="E115" s="9">
        <f>SUMIFS(Actuals!$G:$G,Actuals!$A:$A,$A115)</f>
        <v/>
      </c>
      <c r="F115" s="9">
        <f>SUMIFS(Actuals!$H:$H,Actuals!$A:$A,$A115)</f>
        <v/>
      </c>
      <c r="G115" s="9">
        <f>SUMIFS(Actuals!$I:$I,Actuals!$A:$A,$A115)</f>
        <v/>
      </c>
      <c r="H115" s="9">
        <f>SUMIFS(Actuals!$J:$J,Actuals!$A:$A,$A115)</f>
        <v/>
      </c>
      <c r="I115" s="9">
        <f>SUMIFS(Actuals!$K:$K,Actuals!$A:$A,$A115)</f>
        <v/>
      </c>
      <c r="J115" s="9">
        <f>SUMIFS(Actuals!$L:$L,Actuals!$A:$A,$A115)</f>
        <v/>
      </c>
      <c r="K115" s="9">
        <f>SUMIFS(Actuals!$M:$M,Actuals!$A:$A,$A115)</f>
        <v/>
      </c>
      <c r="L115" s="9">
        <f>SUMIFS(Actuals!$N:$N,Actuals!$A:$A,$A115)</f>
        <v/>
      </c>
      <c r="M115" s="9">
        <f>SUMIFS(Actuals!$O:$O,Actuals!$A:$A,$A115)</f>
        <v/>
      </c>
      <c r="N115" s="10">
        <f>SUM(B115:M115)</f>
        <v/>
      </c>
    </row>
    <row r="116">
      <c r="A116" s="5" t="inlineStr">
        <is>
          <t>Employee FBT Contribtution</t>
        </is>
      </c>
      <c r="B116" s="9">
        <f>SUMIFS(Actuals!$D:$D,Actuals!$A:$A,$A116)</f>
        <v/>
      </c>
      <c r="C116" s="9">
        <f>SUMIFS(Actuals!$E:$E,Actuals!$A:$A,$A116)</f>
        <v/>
      </c>
      <c r="D116" s="9">
        <f>SUMIFS(Actuals!$F:$F,Actuals!$A:$A,$A116)</f>
        <v/>
      </c>
      <c r="E116" s="9">
        <f>SUMIFS(Actuals!$G:$G,Actuals!$A:$A,$A116)</f>
        <v/>
      </c>
      <c r="F116" s="9">
        <f>SUMIFS(Actuals!$H:$H,Actuals!$A:$A,$A116)</f>
        <v/>
      </c>
      <c r="G116" s="9">
        <f>SUMIFS(Actuals!$I:$I,Actuals!$A:$A,$A116)</f>
        <v/>
      </c>
      <c r="H116" s="9">
        <f>SUMIFS(Actuals!$J:$J,Actuals!$A:$A,$A116)</f>
        <v/>
      </c>
      <c r="I116" s="9">
        <f>SUMIFS(Actuals!$K:$K,Actuals!$A:$A,$A116)</f>
        <v/>
      </c>
      <c r="J116" s="9">
        <f>SUMIFS(Actuals!$L:$L,Actuals!$A:$A,$A116)</f>
        <v/>
      </c>
      <c r="K116" s="9">
        <f>SUMIFS(Actuals!$M:$M,Actuals!$A:$A,$A116)</f>
        <v/>
      </c>
      <c r="L116" s="9">
        <f>SUMIFS(Actuals!$N:$N,Actuals!$A:$A,$A116)</f>
        <v/>
      </c>
      <c r="M116" s="9">
        <f>SUMIFS(Actuals!$O:$O,Actuals!$A:$A,$A116)</f>
        <v/>
      </c>
      <c r="N116" s="10">
        <f>SUM(B116:M116)</f>
        <v/>
      </c>
    </row>
    <row r="117">
      <c r="A117" s="5" t="inlineStr">
        <is>
          <t>Gain on lease termination</t>
        </is>
      </c>
      <c r="B117" s="9">
        <f>SUMIFS(Actuals!$D:$D,Actuals!$A:$A,$A117)</f>
        <v/>
      </c>
      <c r="C117" s="9">
        <f>SUMIFS(Actuals!$E:$E,Actuals!$A:$A,$A117)</f>
        <v/>
      </c>
      <c r="D117" s="9">
        <f>SUMIFS(Actuals!$F:$F,Actuals!$A:$A,$A117)</f>
        <v/>
      </c>
      <c r="E117" s="9">
        <f>SUMIFS(Actuals!$G:$G,Actuals!$A:$A,$A117)</f>
        <v/>
      </c>
      <c r="F117" s="9">
        <f>SUMIFS(Actuals!$H:$H,Actuals!$A:$A,$A117)</f>
        <v/>
      </c>
      <c r="G117" s="9">
        <f>SUMIFS(Actuals!$I:$I,Actuals!$A:$A,$A117)</f>
        <v/>
      </c>
      <c r="H117" s="9">
        <f>SUMIFS(Actuals!$J:$J,Actuals!$A:$A,$A117)</f>
        <v/>
      </c>
      <c r="I117" s="9">
        <f>SUMIFS(Actuals!$K:$K,Actuals!$A:$A,$A117)</f>
        <v/>
      </c>
      <c r="J117" s="9">
        <f>SUMIFS(Actuals!$L:$L,Actuals!$A:$A,$A117)</f>
        <v/>
      </c>
      <c r="K117" s="9">
        <f>SUMIFS(Actuals!$M:$M,Actuals!$A:$A,$A117)</f>
        <v/>
      </c>
      <c r="L117" s="9">
        <f>SUMIFS(Actuals!$N:$N,Actuals!$A:$A,$A117)</f>
        <v/>
      </c>
      <c r="M117" s="9">
        <f>SUMIFS(Actuals!$O:$O,Actuals!$A:$A,$A117)</f>
        <v/>
      </c>
      <c r="N117" s="10">
        <f>SUM(B117:M117)</f>
        <v/>
      </c>
    </row>
    <row r="118">
      <c r="A118" s="5" t="inlineStr">
        <is>
          <t>Income Other</t>
        </is>
      </c>
      <c r="B118" s="9">
        <f>SUMIFS(Actuals!$D:$D,Actuals!$A:$A,$A118)</f>
        <v/>
      </c>
      <c r="C118" s="9">
        <f>SUMIFS(Actuals!$E:$E,Actuals!$A:$A,$A118)</f>
        <v/>
      </c>
      <c r="D118" s="9">
        <f>SUMIFS(Actuals!$F:$F,Actuals!$A:$A,$A118)</f>
        <v/>
      </c>
      <c r="E118" s="9">
        <f>SUMIFS(Actuals!$G:$G,Actuals!$A:$A,$A118)</f>
        <v/>
      </c>
      <c r="F118" s="9">
        <f>SUMIFS(Actuals!$H:$H,Actuals!$A:$A,$A118)</f>
        <v/>
      </c>
      <c r="G118" s="9">
        <f>SUMIFS(Actuals!$I:$I,Actuals!$A:$A,$A118)</f>
        <v/>
      </c>
      <c r="H118" s="9">
        <f>SUMIFS(Actuals!$J:$J,Actuals!$A:$A,$A118)</f>
        <v/>
      </c>
      <c r="I118" s="9">
        <f>SUMIFS(Actuals!$K:$K,Actuals!$A:$A,$A118)</f>
        <v/>
      </c>
      <c r="J118" s="9">
        <f>SUMIFS(Actuals!$L:$L,Actuals!$A:$A,$A118)</f>
        <v/>
      </c>
      <c r="K118" s="9">
        <f>SUMIFS(Actuals!$M:$M,Actuals!$A:$A,$A118)</f>
        <v/>
      </c>
      <c r="L118" s="9">
        <f>SUMIFS(Actuals!$N:$N,Actuals!$A:$A,$A118)</f>
        <v/>
      </c>
      <c r="M118" s="9">
        <f>SUMIFS(Actuals!$O:$O,Actuals!$A:$A,$A118)</f>
        <v/>
      </c>
      <c r="N118" s="10">
        <f>SUM(B118:M118)</f>
        <v/>
      </c>
    </row>
    <row r="119">
      <c r="A119" s="5" t="inlineStr">
        <is>
          <t>Interest Income</t>
        </is>
      </c>
      <c r="B119" s="9">
        <f>SUMIFS(Actuals!$D:$D,Actuals!$A:$A,$A119)</f>
        <v/>
      </c>
      <c r="C119" s="9">
        <f>SUMIFS(Actuals!$E:$E,Actuals!$A:$A,$A119)</f>
        <v/>
      </c>
      <c r="D119" s="9">
        <f>SUMIFS(Actuals!$F:$F,Actuals!$A:$A,$A119)</f>
        <v/>
      </c>
      <c r="E119" s="9">
        <f>SUMIFS(Actuals!$G:$G,Actuals!$A:$A,$A119)</f>
        <v/>
      </c>
      <c r="F119" s="9">
        <f>SUMIFS(Actuals!$H:$H,Actuals!$A:$A,$A119)</f>
        <v/>
      </c>
      <c r="G119" s="9">
        <f>SUMIFS(Actuals!$I:$I,Actuals!$A:$A,$A119)</f>
        <v/>
      </c>
      <c r="H119" s="9">
        <f>SUMIFS(Actuals!$J:$J,Actuals!$A:$A,$A119)</f>
        <v/>
      </c>
      <c r="I119" s="9">
        <f>SUMIFS(Actuals!$K:$K,Actuals!$A:$A,$A119)</f>
        <v/>
      </c>
      <c r="J119" s="9">
        <f>SUMIFS(Actuals!$L:$L,Actuals!$A:$A,$A119)</f>
        <v/>
      </c>
      <c r="K119" s="9">
        <f>SUMIFS(Actuals!$M:$M,Actuals!$A:$A,$A119)</f>
        <v/>
      </c>
      <c r="L119" s="9">
        <f>SUMIFS(Actuals!$N:$N,Actuals!$A:$A,$A119)</f>
        <v/>
      </c>
      <c r="M119" s="9">
        <f>SUMIFS(Actuals!$O:$O,Actuals!$A:$A,$A119)</f>
        <v/>
      </c>
      <c r="N119" s="10">
        <f>SUM(B119:M119)</f>
        <v/>
      </c>
    </row>
    <row r="120">
      <c r="A120" s="5" t="inlineStr">
        <is>
          <t>Interest Received</t>
        </is>
      </c>
      <c r="B120" s="9">
        <f>SUMIFS(Actuals!$D:$D,Actuals!$A:$A,$A120)</f>
        <v/>
      </c>
      <c r="C120" s="9">
        <f>SUMIFS(Actuals!$E:$E,Actuals!$A:$A,$A120)</f>
        <v/>
      </c>
      <c r="D120" s="9">
        <f>SUMIFS(Actuals!$F:$F,Actuals!$A:$A,$A120)</f>
        <v/>
      </c>
      <c r="E120" s="9">
        <f>SUMIFS(Actuals!$G:$G,Actuals!$A:$A,$A120)</f>
        <v/>
      </c>
      <c r="F120" s="9">
        <f>SUMIFS(Actuals!$H:$H,Actuals!$A:$A,$A120)</f>
        <v/>
      </c>
      <c r="G120" s="9">
        <f>SUMIFS(Actuals!$I:$I,Actuals!$A:$A,$A120)</f>
        <v/>
      </c>
      <c r="H120" s="9">
        <f>SUMIFS(Actuals!$J:$J,Actuals!$A:$A,$A120)</f>
        <v/>
      </c>
      <c r="I120" s="9">
        <f>SUMIFS(Actuals!$K:$K,Actuals!$A:$A,$A120)</f>
        <v/>
      </c>
      <c r="J120" s="9">
        <f>SUMIFS(Actuals!$L:$L,Actuals!$A:$A,$A120)</f>
        <v/>
      </c>
      <c r="K120" s="9">
        <f>SUMIFS(Actuals!$M:$M,Actuals!$A:$A,$A120)</f>
        <v/>
      </c>
      <c r="L120" s="9">
        <f>SUMIFS(Actuals!$N:$N,Actuals!$A:$A,$A120)</f>
        <v/>
      </c>
      <c r="M120" s="9">
        <f>SUMIFS(Actuals!$O:$O,Actuals!$A:$A,$A120)</f>
        <v/>
      </c>
      <c r="N120" s="10">
        <f>SUM(B120:M120)</f>
        <v/>
      </c>
    </row>
    <row r="121">
      <c r="A121" s="5" t="inlineStr">
        <is>
          <t>JobKeeper Subsidy</t>
        </is>
      </c>
      <c r="B121" s="9">
        <f>SUMIFS(Actuals!$D:$D,Actuals!$A:$A,$A121)</f>
        <v/>
      </c>
      <c r="C121" s="9">
        <f>SUMIFS(Actuals!$E:$E,Actuals!$A:$A,$A121)</f>
        <v/>
      </c>
      <c r="D121" s="9">
        <f>SUMIFS(Actuals!$F:$F,Actuals!$A:$A,$A121)</f>
        <v/>
      </c>
      <c r="E121" s="9">
        <f>SUMIFS(Actuals!$G:$G,Actuals!$A:$A,$A121)</f>
        <v/>
      </c>
      <c r="F121" s="9">
        <f>SUMIFS(Actuals!$H:$H,Actuals!$A:$A,$A121)</f>
        <v/>
      </c>
      <c r="G121" s="9">
        <f>SUMIFS(Actuals!$I:$I,Actuals!$A:$A,$A121)</f>
        <v/>
      </c>
      <c r="H121" s="9">
        <f>SUMIFS(Actuals!$J:$J,Actuals!$A:$A,$A121)</f>
        <v/>
      </c>
      <c r="I121" s="9">
        <f>SUMIFS(Actuals!$K:$K,Actuals!$A:$A,$A121)</f>
        <v/>
      </c>
      <c r="J121" s="9">
        <f>SUMIFS(Actuals!$L:$L,Actuals!$A:$A,$A121)</f>
        <v/>
      </c>
      <c r="K121" s="9">
        <f>SUMIFS(Actuals!$M:$M,Actuals!$A:$A,$A121)</f>
        <v/>
      </c>
      <c r="L121" s="9">
        <f>SUMIFS(Actuals!$N:$N,Actuals!$A:$A,$A121)</f>
        <v/>
      </c>
      <c r="M121" s="9">
        <f>SUMIFS(Actuals!$O:$O,Actuals!$A:$A,$A121)</f>
        <v/>
      </c>
      <c r="N121" s="10">
        <f>SUM(B121:M121)</f>
        <v/>
      </c>
    </row>
    <row r="122">
      <c r="A122" s="5" t="inlineStr">
        <is>
          <t>JobSaver Subsidy</t>
        </is>
      </c>
      <c r="B122" s="9">
        <f>SUMIFS(Actuals!$D:$D,Actuals!$A:$A,$A122)</f>
        <v/>
      </c>
      <c r="C122" s="9">
        <f>SUMIFS(Actuals!$E:$E,Actuals!$A:$A,$A122)</f>
        <v/>
      </c>
      <c r="D122" s="9">
        <f>SUMIFS(Actuals!$F:$F,Actuals!$A:$A,$A122)</f>
        <v/>
      </c>
      <c r="E122" s="9">
        <f>SUMIFS(Actuals!$G:$G,Actuals!$A:$A,$A122)</f>
        <v/>
      </c>
      <c r="F122" s="9">
        <f>SUMIFS(Actuals!$H:$H,Actuals!$A:$A,$A122)</f>
        <v/>
      </c>
      <c r="G122" s="9">
        <f>SUMIFS(Actuals!$I:$I,Actuals!$A:$A,$A122)</f>
        <v/>
      </c>
      <c r="H122" s="9">
        <f>SUMIFS(Actuals!$J:$J,Actuals!$A:$A,$A122)</f>
        <v/>
      </c>
      <c r="I122" s="9">
        <f>SUMIFS(Actuals!$K:$K,Actuals!$A:$A,$A122)</f>
        <v/>
      </c>
      <c r="J122" s="9">
        <f>SUMIFS(Actuals!$L:$L,Actuals!$A:$A,$A122)</f>
        <v/>
      </c>
      <c r="K122" s="9">
        <f>SUMIFS(Actuals!$M:$M,Actuals!$A:$A,$A122)</f>
        <v/>
      </c>
      <c r="L122" s="9">
        <f>SUMIFS(Actuals!$N:$N,Actuals!$A:$A,$A122)</f>
        <v/>
      </c>
      <c r="M122" s="9">
        <f>SUMIFS(Actuals!$O:$O,Actuals!$A:$A,$A122)</f>
        <v/>
      </c>
      <c r="N122" s="10">
        <f>SUM(B122:M122)</f>
        <v/>
      </c>
    </row>
    <row r="123">
      <c r="A123" s="5" t="inlineStr">
        <is>
          <t>Rental Income</t>
        </is>
      </c>
      <c r="B123" s="9">
        <f>SUMIFS(Actuals!$D:$D,Actuals!$A:$A,$A123)</f>
        <v/>
      </c>
      <c r="C123" s="9">
        <f>SUMIFS(Actuals!$E:$E,Actuals!$A:$A,$A123)</f>
        <v/>
      </c>
      <c r="D123" s="9">
        <f>SUMIFS(Actuals!$F:$F,Actuals!$A:$A,$A123)</f>
        <v/>
      </c>
      <c r="E123" s="9">
        <f>SUMIFS(Actuals!$G:$G,Actuals!$A:$A,$A123)</f>
        <v/>
      </c>
      <c r="F123" s="9">
        <f>SUMIFS(Actuals!$H:$H,Actuals!$A:$A,$A123)</f>
        <v/>
      </c>
      <c r="G123" s="9">
        <f>SUMIFS(Actuals!$I:$I,Actuals!$A:$A,$A123)</f>
        <v/>
      </c>
      <c r="H123" s="9">
        <f>SUMIFS(Actuals!$J:$J,Actuals!$A:$A,$A123)</f>
        <v/>
      </c>
      <c r="I123" s="9">
        <f>SUMIFS(Actuals!$K:$K,Actuals!$A:$A,$A123)</f>
        <v/>
      </c>
      <c r="J123" s="9">
        <f>SUMIFS(Actuals!$L:$L,Actuals!$A:$A,$A123)</f>
        <v/>
      </c>
      <c r="K123" s="9">
        <f>SUMIFS(Actuals!$M:$M,Actuals!$A:$A,$A123)</f>
        <v/>
      </c>
      <c r="L123" s="9">
        <f>SUMIFS(Actuals!$N:$N,Actuals!$A:$A,$A123)</f>
        <v/>
      </c>
      <c r="M123" s="9">
        <f>SUMIFS(Actuals!$O:$O,Actuals!$A:$A,$A123)</f>
        <v/>
      </c>
      <c r="N123" s="10">
        <f>SUM(B123:M123)</f>
        <v/>
      </c>
    </row>
    <row r="124">
      <c r="A124" s="11" t="inlineStr">
        <is>
          <t>Total Other Income</t>
        </is>
      </c>
      <c r="B124" s="12">
        <f>SUM(B115:B123)</f>
        <v/>
      </c>
      <c r="C124" s="12">
        <f>SUM(C115:C123)</f>
        <v/>
      </c>
      <c r="D124" s="12">
        <f>SUM(D115:D123)</f>
        <v/>
      </c>
      <c r="E124" s="12">
        <f>SUM(E115:E123)</f>
        <v/>
      </c>
      <c r="F124" s="12">
        <f>SUM(F115:F123)</f>
        <v/>
      </c>
      <c r="G124" s="12">
        <f>SUM(G115:G123)</f>
        <v/>
      </c>
      <c r="H124" s="12">
        <f>SUM(H115:H123)</f>
        <v/>
      </c>
      <c r="I124" s="12">
        <f>SUM(I115:I123)</f>
        <v/>
      </c>
      <c r="J124" s="12">
        <f>SUM(J115:J123)</f>
        <v/>
      </c>
      <c r="K124" s="12">
        <f>SUM(K115:K123)</f>
        <v/>
      </c>
      <c r="L124" s="12">
        <f>SUM(L115:L123)</f>
        <v/>
      </c>
      <c r="M124" s="12">
        <f>SUM(M115:M123)</f>
        <v/>
      </c>
      <c r="N124" s="12">
        <f>SUM(B124:M124)</f>
        <v/>
      </c>
    </row>
    <row r="126">
      <c r="A126" s="7" t="inlineStr">
        <is>
          <t>EXPENSES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5" t="inlineStr">
        <is>
          <t>1300 Number</t>
        </is>
      </c>
      <c r="B127" s="9">
        <f>SUMIFS(Actuals!$D:$D,Actuals!$A:$A,$A127)</f>
        <v/>
      </c>
      <c r="C127" s="9">
        <f>SUMIFS(Actuals!$E:$E,Actuals!$A:$A,$A127)</f>
        <v/>
      </c>
      <c r="D127" s="9">
        <f>SUMIFS(Actuals!$F:$F,Actuals!$A:$A,$A127)</f>
        <v/>
      </c>
      <c r="E127" s="9">
        <f>SUMIFS(Actuals!$G:$G,Actuals!$A:$A,$A127)</f>
        <v/>
      </c>
      <c r="F127" s="9">
        <f>SUMIFS(Actuals!$H:$H,Actuals!$A:$A,$A127)</f>
        <v/>
      </c>
      <c r="G127" s="9">
        <f>SUMIFS(Actuals!$I:$I,Actuals!$A:$A,$A127)</f>
        <v/>
      </c>
      <c r="H127" s="9">
        <f>SUMIFS(Actuals!$J:$J,Actuals!$A:$A,$A127)</f>
        <v/>
      </c>
      <c r="I127" s="9">
        <f>SUMIFS(Actuals!$K:$K,Actuals!$A:$A,$A127)</f>
        <v/>
      </c>
      <c r="J127" s="9">
        <f>SUMIFS(Actuals!$L:$L,Actuals!$A:$A,$A127)</f>
        <v/>
      </c>
      <c r="K127" s="9">
        <f>SUMIFS(Actuals!$M:$M,Actuals!$A:$A,$A127)</f>
        <v/>
      </c>
      <c r="L127" s="9">
        <f>SUMIFS(Actuals!$N:$N,Actuals!$A:$A,$A127)</f>
        <v/>
      </c>
      <c r="M127" s="9">
        <f>SUMIFS(Actuals!$O:$O,Actuals!$A:$A,$A127)</f>
        <v/>
      </c>
      <c r="N127" s="10">
        <f>SUM(B127:M127)</f>
        <v/>
      </c>
    </row>
    <row r="128">
      <c r="A128" s="5" t="inlineStr">
        <is>
          <t>Accounting Fees</t>
        </is>
      </c>
      <c r="B128" s="9">
        <f>SUMIFS(Actuals!$D:$D,Actuals!$A:$A,$A128)</f>
        <v/>
      </c>
      <c r="C128" s="9">
        <f>SUMIFS(Actuals!$E:$E,Actuals!$A:$A,$A128)</f>
        <v/>
      </c>
      <c r="D128" s="9">
        <f>SUMIFS(Actuals!$F:$F,Actuals!$A:$A,$A128)</f>
        <v/>
      </c>
      <c r="E128" s="9">
        <f>SUMIFS(Actuals!$G:$G,Actuals!$A:$A,$A128)</f>
        <v/>
      </c>
      <c r="F128" s="9">
        <f>SUMIFS(Actuals!$H:$H,Actuals!$A:$A,$A128)</f>
        <v/>
      </c>
      <c r="G128" s="9">
        <f>SUMIFS(Actuals!$I:$I,Actuals!$A:$A,$A128)</f>
        <v/>
      </c>
      <c r="H128" s="9">
        <f>SUMIFS(Actuals!$J:$J,Actuals!$A:$A,$A128)</f>
        <v/>
      </c>
      <c r="I128" s="9">
        <f>SUMIFS(Actuals!$K:$K,Actuals!$A:$A,$A128)</f>
        <v/>
      </c>
      <c r="J128" s="9">
        <f>SUMIFS(Actuals!$L:$L,Actuals!$A:$A,$A128)</f>
        <v/>
      </c>
      <c r="K128" s="9">
        <f>SUMIFS(Actuals!$M:$M,Actuals!$A:$A,$A128)</f>
        <v/>
      </c>
      <c r="L128" s="9">
        <f>SUMIFS(Actuals!$N:$N,Actuals!$A:$A,$A128)</f>
        <v/>
      </c>
      <c r="M128" s="9">
        <f>SUMIFS(Actuals!$O:$O,Actuals!$A:$A,$A128)</f>
        <v/>
      </c>
      <c r="N128" s="10">
        <f>SUM(B128:M128)</f>
        <v/>
      </c>
    </row>
    <row r="129">
      <c r="A129" s="5" t="inlineStr">
        <is>
          <t>Advertising</t>
        </is>
      </c>
      <c r="B129" s="9">
        <f>SUMIFS(Actuals!$D:$D,Actuals!$A:$A,$A129)</f>
        <v/>
      </c>
      <c r="C129" s="9">
        <f>SUMIFS(Actuals!$E:$E,Actuals!$A:$A,$A129)</f>
        <v/>
      </c>
      <c r="D129" s="9">
        <f>SUMIFS(Actuals!$F:$F,Actuals!$A:$A,$A129)</f>
        <v/>
      </c>
      <c r="E129" s="9">
        <f>SUMIFS(Actuals!$G:$G,Actuals!$A:$A,$A129)</f>
        <v/>
      </c>
      <c r="F129" s="9">
        <f>SUMIFS(Actuals!$H:$H,Actuals!$A:$A,$A129)</f>
        <v/>
      </c>
      <c r="G129" s="9">
        <f>SUMIFS(Actuals!$I:$I,Actuals!$A:$A,$A129)</f>
        <v/>
      </c>
      <c r="H129" s="9">
        <f>SUMIFS(Actuals!$J:$J,Actuals!$A:$A,$A129)</f>
        <v/>
      </c>
      <c r="I129" s="9">
        <f>SUMIFS(Actuals!$K:$K,Actuals!$A:$A,$A129)</f>
        <v/>
      </c>
      <c r="J129" s="9">
        <f>SUMIFS(Actuals!$L:$L,Actuals!$A:$A,$A129)</f>
        <v/>
      </c>
      <c r="K129" s="9">
        <f>SUMIFS(Actuals!$M:$M,Actuals!$A:$A,$A129)</f>
        <v/>
      </c>
      <c r="L129" s="9">
        <f>SUMIFS(Actuals!$N:$N,Actuals!$A:$A,$A129)</f>
        <v/>
      </c>
      <c r="M129" s="9">
        <f>SUMIFS(Actuals!$O:$O,Actuals!$A:$A,$A129)</f>
        <v/>
      </c>
      <c r="N129" s="10">
        <f>SUM(B129:M129)</f>
        <v/>
      </c>
    </row>
    <row r="130">
      <c r="A130" s="5" t="inlineStr">
        <is>
          <t>Bad Debts</t>
        </is>
      </c>
      <c r="B130" s="9">
        <f>SUMIFS(Actuals!$D:$D,Actuals!$A:$A,$A130)</f>
        <v/>
      </c>
      <c r="C130" s="9">
        <f>SUMIFS(Actuals!$E:$E,Actuals!$A:$A,$A130)</f>
        <v/>
      </c>
      <c r="D130" s="9">
        <f>SUMIFS(Actuals!$F:$F,Actuals!$A:$A,$A130)</f>
        <v/>
      </c>
      <c r="E130" s="9">
        <f>SUMIFS(Actuals!$G:$G,Actuals!$A:$A,$A130)</f>
        <v/>
      </c>
      <c r="F130" s="9">
        <f>SUMIFS(Actuals!$H:$H,Actuals!$A:$A,$A130)</f>
        <v/>
      </c>
      <c r="G130" s="9">
        <f>SUMIFS(Actuals!$I:$I,Actuals!$A:$A,$A130)</f>
        <v/>
      </c>
      <c r="H130" s="9">
        <f>SUMIFS(Actuals!$J:$J,Actuals!$A:$A,$A130)</f>
        <v/>
      </c>
      <c r="I130" s="9">
        <f>SUMIFS(Actuals!$K:$K,Actuals!$A:$A,$A130)</f>
        <v/>
      </c>
      <c r="J130" s="9">
        <f>SUMIFS(Actuals!$L:$L,Actuals!$A:$A,$A130)</f>
        <v/>
      </c>
      <c r="K130" s="9">
        <f>SUMIFS(Actuals!$M:$M,Actuals!$A:$A,$A130)</f>
        <v/>
      </c>
      <c r="L130" s="9">
        <f>SUMIFS(Actuals!$N:$N,Actuals!$A:$A,$A130)</f>
        <v/>
      </c>
      <c r="M130" s="9">
        <f>SUMIFS(Actuals!$O:$O,Actuals!$A:$A,$A130)</f>
        <v/>
      </c>
      <c r="N130" s="10">
        <f>SUM(B130:M130)</f>
        <v/>
      </c>
    </row>
    <row r="131">
      <c r="A131" s="5" t="inlineStr">
        <is>
          <t>Bank Charges</t>
        </is>
      </c>
      <c r="B131" s="9">
        <f>SUMIFS(Actuals!$D:$D,Actuals!$A:$A,$A131)</f>
        <v/>
      </c>
      <c r="C131" s="9">
        <f>SUMIFS(Actuals!$E:$E,Actuals!$A:$A,$A131)</f>
        <v/>
      </c>
      <c r="D131" s="9">
        <f>SUMIFS(Actuals!$F:$F,Actuals!$A:$A,$A131)</f>
        <v/>
      </c>
      <c r="E131" s="9">
        <f>SUMIFS(Actuals!$G:$G,Actuals!$A:$A,$A131)</f>
        <v/>
      </c>
      <c r="F131" s="9">
        <f>SUMIFS(Actuals!$H:$H,Actuals!$A:$A,$A131)</f>
        <v/>
      </c>
      <c r="G131" s="9">
        <f>SUMIFS(Actuals!$I:$I,Actuals!$A:$A,$A131)</f>
        <v/>
      </c>
      <c r="H131" s="9">
        <f>SUMIFS(Actuals!$J:$J,Actuals!$A:$A,$A131)</f>
        <v/>
      </c>
      <c r="I131" s="9">
        <f>SUMIFS(Actuals!$K:$K,Actuals!$A:$A,$A131)</f>
        <v/>
      </c>
      <c r="J131" s="9">
        <f>SUMIFS(Actuals!$L:$L,Actuals!$A:$A,$A131)</f>
        <v/>
      </c>
      <c r="K131" s="9">
        <f>SUMIFS(Actuals!$M:$M,Actuals!$A:$A,$A131)</f>
        <v/>
      </c>
      <c r="L131" s="9">
        <f>SUMIFS(Actuals!$N:$N,Actuals!$A:$A,$A131)</f>
        <v/>
      </c>
      <c r="M131" s="9">
        <f>SUMIFS(Actuals!$O:$O,Actuals!$A:$A,$A131)</f>
        <v/>
      </c>
      <c r="N131" s="10">
        <f>SUM(B131:M131)</f>
        <v/>
      </c>
    </row>
    <row r="132">
      <c r="A132" s="5" t="inlineStr">
        <is>
          <t>Bank Revaluations</t>
        </is>
      </c>
      <c r="B132" s="9">
        <f>SUMIFS(Actuals!$D:$D,Actuals!$A:$A,$A132)</f>
        <v/>
      </c>
      <c r="C132" s="9">
        <f>SUMIFS(Actuals!$E:$E,Actuals!$A:$A,$A132)</f>
        <v/>
      </c>
      <c r="D132" s="9">
        <f>SUMIFS(Actuals!$F:$F,Actuals!$A:$A,$A132)</f>
        <v/>
      </c>
      <c r="E132" s="9">
        <f>SUMIFS(Actuals!$G:$G,Actuals!$A:$A,$A132)</f>
        <v/>
      </c>
      <c r="F132" s="9">
        <f>SUMIFS(Actuals!$H:$H,Actuals!$A:$A,$A132)</f>
        <v/>
      </c>
      <c r="G132" s="9">
        <f>SUMIFS(Actuals!$I:$I,Actuals!$A:$A,$A132)</f>
        <v/>
      </c>
      <c r="H132" s="9">
        <f>SUMIFS(Actuals!$J:$J,Actuals!$A:$A,$A132)</f>
        <v/>
      </c>
      <c r="I132" s="9">
        <f>SUMIFS(Actuals!$K:$K,Actuals!$A:$A,$A132)</f>
        <v/>
      </c>
      <c r="J132" s="9">
        <f>SUMIFS(Actuals!$L:$L,Actuals!$A:$A,$A132)</f>
        <v/>
      </c>
      <c r="K132" s="9">
        <f>SUMIFS(Actuals!$M:$M,Actuals!$A:$A,$A132)</f>
        <v/>
      </c>
      <c r="L132" s="9">
        <f>SUMIFS(Actuals!$N:$N,Actuals!$A:$A,$A132)</f>
        <v/>
      </c>
      <c r="M132" s="9">
        <f>SUMIFS(Actuals!$O:$O,Actuals!$A:$A,$A132)</f>
        <v/>
      </c>
      <c r="N132" s="10">
        <f>SUM(B132:M132)</f>
        <v/>
      </c>
    </row>
    <row r="133">
      <c r="A133" s="5" t="inlineStr">
        <is>
          <t>Business Advisory</t>
        </is>
      </c>
      <c r="B133" s="9">
        <f>SUMIFS(Actuals!$D:$D,Actuals!$A:$A,$A133)</f>
        <v/>
      </c>
      <c r="C133" s="9">
        <f>SUMIFS(Actuals!$E:$E,Actuals!$A:$A,$A133)</f>
        <v/>
      </c>
      <c r="D133" s="9">
        <f>SUMIFS(Actuals!$F:$F,Actuals!$A:$A,$A133)</f>
        <v/>
      </c>
      <c r="E133" s="9">
        <f>SUMIFS(Actuals!$G:$G,Actuals!$A:$A,$A133)</f>
        <v/>
      </c>
      <c r="F133" s="9">
        <f>SUMIFS(Actuals!$H:$H,Actuals!$A:$A,$A133)</f>
        <v/>
      </c>
      <c r="G133" s="9">
        <f>SUMIFS(Actuals!$I:$I,Actuals!$A:$A,$A133)</f>
        <v/>
      </c>
      <c r="H133" s="9">
        <f>SUMIFS(Actuals!$J:$J,Actuals!$A:$A,$A133)</f>
        <v/>
      </c>
      <c r="I133" s="9">
        <f>SUMIFS(Actuals!$K:$K,Actuals!$A:$A,$A133)</f>
        <v/>
      </c>
      <c r="J133" s="9">
        <f>SUMIFS(Actuals!$L:$L,Actuals!$A:$A,$A133)</f>
        <v/>
      </c>
      <c r="K133" s="9">
        <f>SUMIFS(Actuals!$M:$M,Actuals!$A:$A,$A133)</f>
        <v/>
      </c>
      <c r="L133" s="9">
        <f>SUMIFS(Actuals!$N:$N,Actuals!$A:$A,$A133)</f>
        <v/>
      </c>
      <c r="M133" s="9">
        <f>SUMIFS(Actuals!$O:$O,Actuals!$A:$A,$A133)</f>
        <v/>
      </c>
      <c r="N133" s="10">
        <f>SUM(B133:M133)</f>
        <v/>
      </c>
    </row>
    <row r="134">
      <c r="A134" s="5" t="inlineStr">
        <is>
          <t>Business Combined</t>
        </is>
      </c>
      <c r="B134" s="9">
        <f>SUMIFS(Actuals!$D:$D,Actuals!$A:$A,$A134)</f>
        <v/>
      </c>
      <c r="C134" s="9">
        <f>SUMIFS(Actuals!$E:$E,Actuals!$A:$A,$A134)</f>
        <v/>
      </c>
      <c r="D134" s="9">
        <f>SUMIFS(Actuals!$F:$F,Actuals!$A:$A,$A134)</f>
        <v/>
      </c>
      <c r="E134" s="9">
        <f>SUMIFS(Actuals!$G:$G,Actuals!$A:$A,$A134)</f>
        <v/>
      </c>
      <c r="F134" s="9">
        <f>SUMIFS(Actuals!$H:$H,Actuals!$A:$A,$A134)</f>
        <v/>
      </c>
      <c r="G134" s="9">
        <f>SUMIFS(Actuals!$I:$I,Actuals!$A:$A,$A134)</f>
        <v/>
      </c>
      <c r="H134" s="9">
        <f>SUMIFS(Actuals!$J:$J,Actuals!$A:$A,$A134)</f>
        <v/>
      </c>
      <c r="I134" s="9">
        <f>SUMIFS(Actuals!$K:$K,Actuals!$A:$A,$A134)</f>
        <v/>
      </c>
      <c r="J134" s="9">
        <f>SUMIFS(Actuals!$L:$L,Actuals!$A:$A,$A134)</f>
        <v/>
      </c>
      <c r="K134" s="9">
        <f>SUMIFS(Actuals!$M:$M,Actuals!$A:$A,$A134)</f>
        <v/>
      </c>
      <c r="L134" s="9">
        <f>SUMIFS(Actuals!$N:$N,Actuals!$A:$A,$A134)</f>
        <v/>
      </c>
      <c r="M134" s="9">
        <f>SUMIFS(Actuals!$O:$O,Actuals!$A:$A,$A134)</f>
        <v/>
      </c>
      <c r="N134" s="10">
        <f>SUM(B134:M134)</f>
        <v/>
      </c>
    </row>
    <row r="135">
      <c r="A135" s="5" t="inlineStr">
        <is>
          <t>Client Entertainment</t>
        </is>
      </c>
      <c r="B135" s="9">
        <f>SUMIFS(Actuals!$D:$D,Actuals!$A:$A,$A135)</f>
        <v/>
      </c>
      <c r="C135" s="9">
        <f>SUMIFS(Actuals!$E:$E,Actuals!$A:$A,$A135)</f>
        <v/>
      </c>
      <c r="D135" s="9">
        <f>SUMIFS(Actuals!$F:$F,Actuals!$A:$A,$A135)</f>
        <v/>
      </c>
      <c r="E135" s="9">
        <f>SUMIFS(Actuals!$G:$G,Actuals!$A:$A,$A135)</f>
        <v/>
      </c>
      <c r="F135" s="9">
        <f>SUMIFS(Actuals!$H:$H,Actuals!$A:$A,$A135)</f>
        <v/>
      </c>
      <c r="G135" s="9">
        <f>SUMIFS(Actuals!$I:$I,Actuals!$A:$A,$A135)</f>
        <v/>
      </c>
      <c r="H135" s="9">
        <f>SUMIFS(Actuals!$J:$J,Actuals!$A:$A,$A135)</f>
        <v/>
      </c>
      <c r="I135" s="9">
        <f>SUMIFS(Actuals!$K:$K,Actuals!$A:$A,$A135)</f>
        <v/>
      </c>
      <c r="J135" s="9">
        <f>SUMIFS(Actuals!$L:$L,Actuals!$A:$A,$A135)</f>
        <v/>
      </c>
      <c r="K135" s="9">
        <f>SUMIFS(Actuals!$M:$M,Actuals!$A:$A,$A135)</f>
        <v/>
      </c>
      <c r="L135" s="9">
        <f>SUMIFS(Actuals!$N:$N,Actuals!$A:$A,$A135)</f>
        <v/>
      </c>
      <c r="M135" s="9">
        <f>SUMIFS(Actuals!$O:$O,Actuals!$A:$A,$A135)</f>
        <v/>
      </c>
      <c r="N135" s="10">
        <f>SUM(B135:M135)</f>
        <v/>
      </c>
    </row>
    <row r="136">
      <c r="A136" s="5" t="inlineStr">
        <is>
          <t>Credit Card Fees Paid</t>
        </is>
      </c>
      <c r="B136" s="9">
        <f>SUMIFS(Actuals!$D:$D,Actuals!$A:$A,$A136)</f>
        <v/>
      </c>
      <c r="C136" s="9">
        <f>SUMIFS(Actuals!$E:$E,Actuals!$A:$A,$A136)</f>
        <v/>
      </c>
      <c r="D136" s="9">
        <f>SUMIFS(Actuals!$F:$F,Actuals!$A:$A,$A136)</f>
        <v/>
      </c>
      <c r="E136" s="9">
        <f>SUMIFS(Actuals!$G:$G,Actuals!$A:$A,$A136)</f>
        <v/>
      </c>
      <c r="F136" s="9">
        <f>SUMIFS(Actuals!$H:$H,Actuals!$A:$A,$A136)</f>
        <v/>
      </c>
      <c r="G136" s="9">
        <f>SUMIFS(Actuals!$I:$I,Actuals!$A:$A,$A136)</f>
        <v/>
      </c>
      <c r="H136" s="9">
        <f>SUMIFS(Actuals!$J:$J,Actuals!$A:$A,$A136)</f>
        <v/>
      </c>
      <c r="I136" s="9">
        <f>SUMIFS(Actuals!$K:$K,Actuals!$A:$A,$A136)</f>
        <v/>
      </c>
      <c r="J136" s="9">
        <f>SUMIFS(Actuals!$L:$L,Actuals!$A:$A,$A136)</f>
        <v/>
      </c>
      <c r="K136" s="9">
        <f>SUMIFS(Actuals!$M:$M,Actuals!$A:$A,$A136)</f>
        <v/>
      </c>
      <c r="L136" s="9">
        <f>SUMIFS(Actuals!$N:$N,Actuals!$A:$A,$A136)</f>
        <v/>
      </c>
      <c r="M136" s="9">
        <f>SUMIFS(Actuals!$O:$O,Actuals!$A:$A,$A136)</f>
        <v/>
      </c>
      <c r="N136" s="10">
        <f>SUM(B136:M136)</f>
        <v/>
      </c>
    </row>
    <row r="137">
      <c r="A137" s="5" t="inlineStr">
        <is>
          <t>Custodian Vaults</t>
        </is>
      </c>
      <c r="B137" s="9">
        <f>SUMIFS(Actuals!$D:$D,Actuals!$A:$A,$A137)</f>
        <v/>
      </c>
      <c r="C137" s="9">
        <f>SUMIFS(Actuals!$E:$E,Actuals!$A:$A,$A137)</f>
        <v/>
      </c>
      <c r="D137" s="9">
        <f>SUMIFS(Actuals!$F:$F,Actuals!$A:$A,$A137)</f>
        <v/>
      </c>
      <c r="E137" s="9">
        <f>SUMIFS(Actuals!$G:$G,Actuals!$A:$A,$A137)</f>
        <v/>
      </c>
      <c r="F137" s="9">
        <f>SUMIFS(Actuals!$H:$H,Actuals!$A:$A,$A137)</f>
        <v/>
      </c>
      <c r="G137" s="9">
        <f>SUMIFS(Actuals!$I:$I,Actuals!$A:$A,$A137)</f>
        <v/>
      </c>
      <c r="H137" s="9">
        <f>SUMIFS(Actuals!$J:$J,Actuals!$A:$A,$A137)</f>
        <v/>
      </c>
      <c r="I137" s="9">
        <f>SUMIFS(Actuals!$K:$K,Actuals!$A:$A,$A137)</f>
        <v/>
      </c>
      <c r="J137" s="9">
        <f>SUMIFS(Actuals!$L:$L,Actuals!$A:$A,$A137)</f>
        <v/>
      </c>
      <c r="K137" s="9">
        <f>SUMIFS(Actuals!$M:$M,Actuals!$A:$A,$A137)</f>
        <v/>
      </c>
      <c r="L137" s="9">
        <f>SUMIFS(Actuals!$N:$N,Actuals!$A:$A,$A137)</f>
        <v/>
      </c>
      <c r="M137" s="9">
        <f>SUMIFS(Actuals!$O:$O,Actuals!$A:$A,$A137)</f>
        <v/>
      </c>
      <c r="N137" s="10">
        <f>SUM(B137:M137)</f>
        <v/>
      </c>
    </row>
    <row r="138">
      <c r="A138" s="5" t="inlineStr">
        <is>
          <t>Depreciation</t>
        </is>
      </c>
      <c r="B138" s="9">
        <f>SUMIFS(Actuals!$D:$D,Actuals!$A:$A,$A138)</f>
        <v/>
      </c>
      <c r="C138" s="9">
        <f>SUMIFS(Actuals!$E:$E,Actuals!$A:$A,$A138)</f>
        <v/>
      </c>
      <c r="D138" s="9">
        <f>SUMIFS(Actuals!$F:$F,Actuals!$A:$A,$A138)</f>
        <v/>
      </c>
      <c r="E138" s="9">
        <f>SUMIFS(Actuals!$G:$G,Actuals!$A:$A,$A138)</f>
        <v/>
      </c>
      <c r="F138" s="9">
        <f>SUMIFS(Actuals!$H:$H,Actuals!$A:$A,$A138)</f>
        <v/>
      </c>
      <c r="G138" s="9">
        <f>SUMIFS(Actuals!$I:$I,Actuals!$A:$A,$A138)</f>
        <v/>
      </c>
      <c r="H138" s="9">
        <f>SUMIFS(Actuals!$J:$J,Actuals!$A:$A,$A138)</f>
        <v/>
      </c>
      <c r="I138" s="9">
        <f>SUMIFS(Actuals!$K:$K,Actuals!$A:$A,$A138)</f>
        <v/>
      </c>
      <c r="J138" s="9">
        <f>SUMIFS(Actuals!$L:$L,Actuals!$A:$A,$A138)</f>
        <v/>
      </c>
      <c r="K138" s="9">
        <f>SUMIFS(Actuals!$M:$M,Actuals!$A:$A,$A138)</f>
        <v/>
      </c>
      <c r="L138" s="9">
        <f>SUMIFS(Actuals!$N:$N,Actuals!$A:$A,$A138)</f>
        <v/>
      </c>
      <c r="M138" s="9">
        <f>SUMIFS(Actuals!$O:$O,Actuals!$A:$A,$A138)</f>
        <v/>
      </c>
      <c r="N138" s="10">
        <f>SUM(B138:M138)</f>
        <v/>
      </c>
    </row>
    <row r="139">
      <c r="A139" s="5" t="inlineStr">
        <is>
          <t>Depreciation - ROU</t>
        </is>
      </c>
      <c r="B139" s="9">
        <f>SUMIFS(Actuals!$D:$D,Actuals!$A:$A,$A139)</f>
        <v/>
      </c>
      <c r="C139" s="9">
        <f>SUMIFS(Actuals!$E:$E,Actuals!$A:$A,$A139)</f>
        <v/>
      </c>
      <c r="D139" s="9">
        <f>SUMIFS(Actuals!$F:$F,Actuals!$A:$A,$A139)</f>
        <v/>
      </c>
      <c r="E139" s="9">
        <f>SUMIFS(Actuals!$G:$G,Actuals!$A:$A,$A139)</f>
        <v/>
      </c>
      <c r="F139" s="9">
        <f>SUMIFS(Actuals!$H:$H,Actuals!$A:$A,$A139)</f>
        <v/>
      </c>
      <c r="G139" s="9">
        <f>SUMIFS(Actuals!$I:$I,Actuals!$A:$A,$A139)</f>
        <v/>
      </c>
      <c r="H139" s="9">
        <f>SUMIFS(Actuals!$J:$J,Actuals!$A:$A,$A139)</f>
        <v/>
      </c>
      <c r="I139" s="9">
        <f>SUMIFS(Actuals!$K:$K,Actuals!$A:$A,$A139)</f>
        <v/>
      </c>
      <c r="J139" s="9">
        <f>SUMIFS(Actuals!$L:$L,Actuals!$A:$A,$A139)</f>
        <v/>
      </c>
      <c r="K139" s="9">
        <f>SUMIFS(Actuals!$M:$M,Actuals!$A:$A,$A139)</f>
        <v/>
      </c>
      <c r="L139" s="9">
        <f>SUMIFS(Actuals!$N:$N,Actuals!$A:$A,$A139)</f>
        <v/>
      </c>
      <c r="M139" s="9">
        <f>SUMIFS(Actuals!$O:$O,Actuals!$A:$A,$A139)</f>
        <v/>
      </c>
      <c r="N139" s="10">
        <f>SUM(B139:M139)</f>
        <v/>
      </c>
    </row>
    <row r="140">
      <c r="A140" s="5" t="inlineStr">
        <is>
          <t>Discounts Taken</t>
        </is>
      </c>
      <c r="B140" s="9">
        <f>SUMIFS(Actuals!$D:$D,Actuals!$A:$A,$A140)</f>
        <v/>
      </c>
      <c r="C140" s="9">
        <f>SUMIFS(Actuals!$E:$E,Actuals!$A:$A,$A140)</f>
        <v/>
      </c>
      <c r="D140" s="9">
        <f>SUMIFS(Actuals!$F:$F,Actuals!$A:$A,$A140)</f>
        <v/>
      </c>
      <c r="E140" s="9">
        <f>SUMIFS(Actuals!$G:$G,Actuals!$A:$A,$A140)</f>
        <v/>
      </c>
      <c r="F140" s="9">
        <f>SUMIFS(Actuals!$H:$H,Actuals!$A:$A,$A140)</f>
        <v/>
      </c>
      <c r="G140" s="9">
        <f>SUMIFS(Actuals!$I:$I,Actuals!$A:$A,$A140)</f>
        <v/>
      </c>
      <c r="H140" s="9">
        <f>SUMIFS(Actuals!$J:$J,Actuals!$A:$A,$A140)</f>
        <v/>
      </c>
      <c r="I140" s="9">
        <f>SUMIFS(Actuals!$K:$K,Actuals!$A:$A,$A140)</f>
        <v/>
      </c>
      <c r="J140" s="9">
        <f>SUMIFS(Actuals!$L:$L,Actuals!$A:$A,$A140)</f>
        <v/>
      </c>
      <c r="K140" s="9">
        <f>SUMIFS(Actuals!$M:$M,Actuals!$A:$A,$A140)</f>
        <v/>
      </c>
      <c r="L140" s="9">
        <f>SUMIFS(Actuals!$N:$N,Actuals!$A:$A,$A140)</f>
        <v/>
      </c>
      <c r="M140" s="9">
        <f>SUMIFS(Actuals!$O:$O,Actuals!$A:$A,$A140)</f>
        <v/>
      </c>
      <c r="N140" s="10">
        <f>SUM(B140:M140)</f>
        <v/>
      </c>
    </row>
    <row r="141">
      <c r="A141" s="5" t="inlineStr">
        <is>
          <t>Disposal of fixed assets</t>
        </is>
      </c>
      <c r="B141" s="9">
        <f>SUMIFS(Actuals!$D:$D,Actuals!$A:$A,$A141)</f>
        <v/>
      </c>
      <c r="C141" s="9">
        <f>SUMIFS(Actuals!$E:$E,Actuals!$A:$A,$A141)</f>
        <v/>
      </c>
      <c r="D141" s="9">
        <f>SUMIFS(Actuals!$F:$F,Actuals!$A:$A,$A141)</f>
        <v/>
      </c>
      <c r="E141" s="9">
        <f>SUMIFS(Actuals!$G:$G,Actuals!$A:$A,$A141)</f>
        <v/>
      </c>
      <c r="F141" s="9">
        <f>SUMIFS(Actuals!$H:$H,Actuals!$A:$A,$A141)</f>
        <v/>
      </c>
      <c r="G141" s="9">
        <f>SUMIFS(Actuals!$I:$I,Actuals!$A:$A,$A141)</f>
        <v/>
      </c>
      <c r="H141" s="9">
        <f>SUMIFS(Actuals!$J:$J,Actuals!$A:$A,$A141)</f>
        <v/>
      </c>
      <c r="I141" s="9">
        <f>SUMIFS(Actuals!$K:$K,Actuals!$A:$A,$A141)</f>
        <v/>
      </c>
      <c r="J141" s="9">
        <f>SUMIFS(Actuals!$L:$L,Actuals!$A:$A,$A141)</f>
        <v/>
      </c>
      <c r="K141" s="9">
        <f>SUMIFS(Actuals!$M:$M,Actuals!$A:$A,$A141)</f>
        <v/>
      </c>
      <c r="L141" s="9">
        <f>SUMIFS(Actuals!$N:$N,Actuals!$A:$A,$A141)</f>
        <v/>
      </c>
      <c r="M141" s="9">
        <f>SUMIFS(Actuals!$O:$O,Actuals!$A:$A,$A141)</f>
        <v/>
      </c>
      <c r="N141" s="10">
        <f>SUM(B141:M141)</f>
        <v/>
      </c>
    </row>
    <row r="142">
      <c r="A142" s="5" t="inlineStr">
        <is>
          <t>Dividend paid [93000]</t>
        </is>
      </c>
      <c r="B142" s="9">
        <f>SUMIFS(Actuals!$D:$D,Actuals!$A:$A,$A142)</f>
        <v/>
      </c>
      <c r="C142" s="9">
        <f>SUMIFS(Actuals!$E:$E,Actuals!$A:$A,$A142)</f>
        <v/>
      </c>
      <c r="D142" s="9">
        <f>SUMIFS(Actuals!$F:$F,Actuals!$A:$A,$A142)</f>
        <v/>
      </c>
      <c r="E142" s="9">
        <f>SUMIFS(Actuals!$G:$G,Actuals!$A:$A,$A142)</f>
        <v/>
      </c>
      <c r="F142" s="9">
        <f>SUMIFS(Actuals!$H:$H,Actuals!$A:$A,$A142)</f>
        <v/>
      </c>
      <c r="G142" s="9">
        <f>SUMIFS(Actuals!$I:$I,Actuals!$A:$A,$A142)</f>
        <v/>
      </c>
      <c r="H142" s="9">
        <f>SUMIFS(Actuals!$J:$J,Actuals!$A:$A,$A142)</f>
        <v/>
      </c>
      <c r="I142" s="9">
        <f>SUMIFS(Actuals!$K:$K,Actuals!$A:$A,$A142)</f>
        <v/>
      </c>
      <c r="J142" s="9">
        <f>SUMIFS(Actuals!$L:$L,Actuals!$A:$A,$A142)</f>
        <v/>
      </c>
      <c r="K142" s="9">
        <f>SUMIFS(Actuals!$M:$M,Actuals!$A:$A,$A142)</f>
        <v/>
      </c>
      <c r="L142" s="9">
        <f>SUMIFS(Actuals!$N:$N,Actuals!$A:$A,$A142)</f>
        <v/>
      </c>
      <c r="M142" s="9">
        <f>SUMIFS(Actuals!$O:$O,Actuals!$A:$A,$A142)</f>
        <v/>
      </c>
      <c r="N142" s="10">
        <f>SUM(B142:M142)</f>
        <v/>
      </c>
    </row>
    <row r="143">
      <c r="A143" s="5" t="inlineStr">
        <is>
          <t>Donations / Charity</t>
        </is>
      </c>
      <c r="B143" s="9">
        <f>SUMIFS(Actuals!$D:$D,Actuals!$A:$A,$A143)</f>
        <v/>
      </c>
      <c r="C143" s="9">
        <f>SUMIFS(Actuals!$E:$E,Actuals!$A:$A,$A143)</f>
        <v/>
      </c>
      <c r="D143" s="9">
        <f>SUMIFS(Actuals!$F:$F,Actuals!$A:$A,$A143)</f>
        <v/>
      </c>
      <c r="E143" s="9">
        <f>SUMIFS(Actuals!$G:$G,Actuals!$A:$A,$A143)</f>
        <v/>
      </c>
      <c r="F143" s="9">
        <f>SUMIFS(Actuals!$H:$H,Actuals!$A:$A,$A143)</f>
        <v/>
      </c>
      <c r="G143" s="9">
        <f>SUMIFS(Actuals!$I:$I,Actuals!$A:$A,$A143)</f>
        <v/>
      </c>
      <c r="H143" s="9">
        <f>SUMIFS(Actuals!$J:$J,Actuals!$A:$A,$A143)</f>
        <v/>
      </c>
      <c r="I143" s="9">
        <f>SUMIFS(Actuals!$K:$K,Actuals!$A:$A,$A143)</f>
        <v/>
      </c>
      <c r="J143" s="9">
        <f>SUMIFS(Actuals!$L:$L,Actuals!$A:$A,$A143)</f>
        <v/>
      </c>
      <c r="K143" s="9">
        <f>SUMIFS(Actuals!$M:$M,Actuals!$A:$A,$A143)</f>
        <v/>
      </c>
      <c r="L143" s="9">
        <f>SUMIFS(Actuals!$N:$N,Actuals!$A:$A,$A143)</f>
        <v/>
      </c>
      <c r="M143" s="9">
        <f>SUMIFS(Actuals!$O:$O,Actuals!$A:$A,$A143)</f>
        <v/>
      </c>
      <c r="N143" s="10">
        <f>SUM(B143:M143)</f>
        <v/>
      </c>
    </row>
    <row r="144">
      <c r="A144" s="5" t="inlineStr">
        <is>
          <t>Dues &amp; Subscriptions</t>
        </is>
      </c>
      <c r="B144" s="9">
        <f>SUMIFS(Actuals!$D:$D,Actuals!$A:$A,$A144)</f>
        <v/>
      </c>
      <c r="C144" s="9">
        <f>SUMIFS(Actuals!$E:$E,Actuals!$A:$A,$A144)</f>
        <v/>
      </c>
      <c r="D144" s="9">
        <f>SUMIFS(Actuals!$F:$F,Actuals!$A:$A,$A144)</f>
        <v/>
      </c>
      <c r="E144" s="9">
        <f>SUMIFS(Actuals!$G:$G,Actuals!$A:$A,$A144)</f>
        <v/>
      </c>
      <c r="F144" s="9">
        <f>SUMIFS(Actuals!$H:$H,Actuals!$A:$A,$A144)</f>
        <v/>
      </c>
      <c r="G144" s="9">
        <f>SUMIFS(Actuals!$I:$I,Actuals!$A:$A,$A144)</f>
        <v/>
      </c>
      <c r="H144" s="9">
        <f>SUMIFS(Actuals!$J:$J,Actuals!$A:$A,$A144)</f>
        <v/>
      </c>
      <c r="I144" s="9">
        <f>SUMIFS(Actuals!$K:$K,Actuals!$A:$A,$A144)</f>
        <v/>
      </c>
      <c r="J144" s="9">
        <f>SUMIFS(Actuals!$L:$L,Actuals!$A:$A,$A144)</f>
        <v/>
      </c>
      <c r="K144" s="9">
        <f>SUMIFS(Actuals!$M:$M,Actuals!$A:$A,$A144)</f>
        <v/>
      </c>
      <c r="L144" s="9">
        <f>SUMIFS(Actuals!$N:$N,Actuals!$A:$A,$A144)</f>
        <v/>
      </c>
      <c r="M144" s="9">
        <f>SUMIFS(Actuals!$O:$O,Actuals!$A:$A,$A144)</f>
        <v/>
      </c>
      <c r="N144" s="10">
        <f>SUM(B144:M144)</f>
        <v/>
      </c>
    </row>
    <row r="145">
      <c r="A145" s="5" t="inlineStr">
        <is>
          <t>Electricity</t>
        </is>
      </c>
      <c r="B145" s="9">
        <f>SUMIFS(Actuals!$D:$D,Actuals!$A:$A,$A145)</f>
        <v/>
      </c>
      <c r="C145" s="9">
        <f>SUMIFS(Actuals!$E:$E,Actuals!$A:$A,$A145)</f>
        <v/>
      </c>
      <c r="D145" s="9">
        <f>SUMIFS(Actuals!$F:$F,Actuals!$A:$A,$A145)</f>
        <v/>
      </c>
      <c r="E145" s="9">
        <f>SUMIFS(Actuals!$G:$G,Actuals!$A:$A,$A145)</f>
        <v/>
      </c>
      <c r="F145" s="9">
        <f>SUMIFS(Actuals!$H:$H,Actuals!$A:$A,$A145)</f>
        <v/>
      </c>
      <c r="G145" s="9">
        <f>SUMIFS(Actuals!$I:$I,Actuals!$A:$A,$A145)</f>
        <v/>
      </c>
      <c r="H145" s="9">
        <f>SUMIFS(Actuals!$J:$J,Actuals!$A:$A,$A145)</f>
        <v/>
      </c>
      <c r="I145" s="9">
        <f>SUMIFS(Actuals!$K:$K,Actuals!$A:$A,$A145)</f>
        <v/>
      </c>
      <c r="J145" s="9">
        <f>SUMIFS(Actuals!$L:$L,Actuals!$A:$A,$A145)</f>
        <v/>
      </c>
      <c r="K145" s="9">
        <f>SUMIFS(Actuals!$M:$M,Actuals!$A:$A,$A145)</f>
        <v/>
      </c>
      <c r="L145" s="9">
        <f>SUMIFS(Actuals!$N:$N,Actuals!$A:$A,$A145)</f>
        <v/>
      </c>
      <c r="M145" s="9">
        <f>SUMIFS(Actuals!$O:$O,Actuals!$A:$A,$A145)</f>
        <v/>
      </c>
      <c r="N145" s="10">
        <f>SUM(B145:M145)</f>
        <v/>
      </c>
    </row>
    <row r="146">
      <c r="A146" s="5" t="inlineStr">
        <is>
          <t>Fax</t>
        </is>
      </c>
      <c r="B146" s="9">
        <f>SUMIFS(Actuals!$D:$D,Actuals!$A:$A,$A146)</f>
        <v/>
      </c>
      <c r="C146" s="9">
        <f>SUMIFS(Actuals!$E:$E,Actuals!$A:$A,$A146)</f>
        <v/>
      </c>
      <c r="D146" s="9">
        <f>SUMIFS(Actuals!$F:$F,Actuals!$A:$A,$A146)</f>
        <v/>
      </c>
      <c r="E146" s="9">
        <f>SUMIFS(Actuals!$G:$G,Actuals!$A:$A,$A146)</f>
        <v/>
      </c>
      <c r="F146" s="9">
        <f>SUMIFS(Actuals!$H:$H,Actuals!$A:$A,$A146)</f>
        <v/>
      </c>
      <c r="G146" s="9">
        <f>SUMIFS(Actuals!$I:$I,Actuals!$A:$A,$A146)</f>
        <v/>
      </c>
      <c r="H146" s="9">
        <f>SUMIFS(Actuals!$J:$J,Actuals!$A:$A,$A146)</f>
        <v/>
      </c>
      <c r="I146" s="9">
        <f>SUMIFS(Actuals!$K:$K,Actuals!$A:$A,$A146)</f>
        <v/>
      </c>
      <c r="J146" s="9">
        <f>SUMIFS(Actuals!$L:$L,Actuals!$A:$A,$A146)</f>
        <v/>
      </c>
      <c r="K146" s="9">
        <f>SUMIFS(Actuals!$M:$M,Actuals!$A:$A,$A146)</f>
        <v/>
      </c>
      <c r="L146" s="9">
        <f>SUMIFS(Actuals!$N:$N,Actuals!$A:$A,$A146)</f>
        <v/>
      </c>
      <c r="M146" s="9">
        <f>SUMIFS(Actuals!$O:$O,Actuals!$A:$A,$A146)</f>
        <v/>
      </c>
      <c r="N146" s="10">
        <f>SUM(B146:M146)</f>
        <v/>
      </c>
    </row>
    <row r="147">
      <c r="A147" s="5" t="inlineStr">
        <is>
          <t>Filing Fee</t>
        </is>
      </c>
      <c r="B147" s="9">
        <f>SUMIFS(Actuals!$D:$D,Actuals!$A:$A,$A147)</f>
        <v/>
      </c>
      <c r="C147" s="9">
        <f>SUMIFS(Actuals!$E:$E,Actuals!$A:$A,$A147)</f>
        <v/>
      </c>
      <c r="D147" s="9">
        <f>SUMIFS(Actuals!$F:$F,Actuals!$A:$A,$A147)</f>
        <v/>
      </c>
      <c r="E147" s="9">
        <f>SUMIFS(Actuals!$G:$G,Actuals!$A:$A,$A147)</f>
        <v/>
      </c>
      <c r="F147" s="9">
        <f>SUMIFS(Actuals!$H:$H,Actuals!$A:$A,$A147)</f>
        <v/>
      </c>
      <c r="G147" s="9">
        <f>SUMIFS(Actuals!$I:$I,Actuals!$A:$A,$A147)</f>
        <v/>
      </c>
      <c r="H147" s="9">
        <f>SUMIFS(Actuals!$J:$J,Actuals!$A:$A,$A147)</f>
        <v/>
      </c>
      <c r="I147" s="9">
        <f>SUMIFS(Actuals!$K:$K,Actuals!$A:$A,$A147)</f>
        <v/>
      </c>
      <c r="J147" s="9">
        <f>SUMIFS(Actuals!$L:$L,Actuals!$A:$A,$A147)</f>
        <v/>
      </c>
      <c r="K147" s="9">
        <f>SUMIFS(Actuals!$M:$M,Actuals!$A:$A,$A147)</f>
        <v/>
      </c>
      <c r="L147" s="9">
        <f>SUMIFS(Actuals!$N:$N,Actuals!$A:$A,$A147)</f>
        <v/>
      </c>
      <c r="M147" s="9">
        <f>SUMIFS(Actuals!$O:$O,Actuals!$A:$A,$A147)</f>
        <v/>
      </c>
      <c r="N147" s="10">
        <f>SUM(B147:M147)</f>
        <v/>
      </c>
    </row>
    <row r="148">
      <c r="A148" s="5" t="inlineStr">
        <is>
          <t>Foreign Currency Translation*</t>
        </is>
      </c>
      <c r="B148" s="9">
        <f>SUMIFS(Actuals!$D:$D,Actuals!$A:$A,$A148)</f>
        <v/>
      </c>
      <c r="C148" s="9">
        <f>SUMIFS(Actuals!$E:$E,Actuals!$A:$A,$A148)</f>
        <v/>
      </c>
      <c r="D148" s="9">
        <f>SUMIFS(Actuals!$F:$F,Actuals!$A:$A,$A148)</f>
        <v/>
      </c>
      <c r="E148" s="9">
        <f>SUMIFS(Actuals!$G:$G,Actuals!$A:$A,$A148)</f>
        <v/>
      </c>
      <c r="F148" s="9">
        <f>SUMIFS(Actuals!$H:$H,Actuals!$A:$A,$A148)</f>
        <v/>
      </c>
      <c r="G148" s="9">
        <f>SUMIFS(Actuals!$I:$I,Actuals!$A:$A,$A148)</f>
        <v/>
      </c>
      <c r="H148" s="9">
        <f>SUMIFS(Actuals!$J:$J,Actuals!$A:$A,$A148)</f>
        <v/>
      </c>
      <c r="I148" s="9">
        <f>SUMIFS(Actuals!$K:$K,Actuals!$A:$A,$A148)</f>
        <v/>
      </c>
      <c r="J148" s="9">
        <f>SUMIFS(Actuals!$L:$L,Actuals!$A:$A,$A148)</f>
        <v/>
      </c>
      <c r="K148" s="9">
        <f>SUMIFS(Actuals!$M:$M,Actuals!$A:$A,$A148)</f>
        <v/>
      </c>
      <c r="L148" s="9">
        <f>SUMIFS(Actuals!$N:$N,Actuals!$A:$A,$A148)</f>
        <v/>
      </c>
      <c r="M148" s="9">
        <f>SUMIFS(Actuals!$O:$O,Actuals!$A:$A,$A148)</f>
        <v/>
      </c>
      <c r="N148" s="10">
        <f>SUM(B148:M148)</f>
        <v/>
      </c>
    </row>
    <row r="149">
      <c r="A149" s="5" t="inlineStr">
        <is>
          <t>Freight Paid</t>
        </is>
      </c>
      <c r="B149" s="9">
        <f>SUMIFS(Actuals!$D:$D,Actuals!$A:$A,$A149)</f>
        <v/>
      </c>
      <c r="C149" s="9">
        <f>SUMIFS(Actuals!$E:$E,Actuals!$A:$A,$A149)</f>
        <v/>
      </c>
      <c r="D149" s="9">
        <f>SUMIFS(Actuals!$F:$F,Actuals!$A:$A,$A149)</f>
        <v/>
      </c>
      <c r="E149" s="9">
        <f>SUMIFS(Actuals!$G:$G,Actuals!$A:$A,$A149)</f>
        <v/>
      </c>
      <c r="F149" s="9">
        <f>SUMIFS(Actuals!$H:$H,Actuals!$A:$A,$A149)</f>
        <v/>
      </c>
      <c r="G149" s="9">
        <f>SUMIFS(Actuals!$I:$I,Actuals!$A:$A,$A149)</f>
        <v/>
      </c>
      <c r="H149" s="9">
        <f>SUMIFS(Actuals!$J:$J,Actuals!$A:$A,$A149)</f>
        <v/>
      </c>
      <c r="I149" s="9">
        <f>SUMIFS(Actuals!$K:$K,Actuals!$A:$A,$A149)</f>
        <v/>
      </c>
      <c r="J149" s="9">
        <f>SUMIFS(Actuals!$L:$L,Actuals!$A:$A,$A149)</f>
        <v/>
      </c>
      <c r="K149" s="9">
        <f>SUMIFS(Actuals!$M:$M,Actuals!$A:$A,$A149)</f>
        <v/>
      </c>
      <c r="L149" s="9">
        <f>SUMIFS(Actuals!$N:$N,Actuals!$A:$A,$A149)</f>
        <v/>
      </c>
      <c r="M149" s="9">
        <f>SUMIFS(Actuals!$O:$O,Actuals!$A:$A,$A149)</f>
        <v/>
      </c>
      <c r="N149" s="10">
        <f>SUM(B149:M149)</f>
        <v/>
      </c>
    </row>
    <row r="150">
      <c r="A150" s="5" t="inlineStr">
        <is>
          <t>Fringe Benefits Tax</t>
        </is>
      </c>
      <c r="B150" s="9">
        <f>SUMIFS(Actuals!$D:$D,Actuals!$A:$A,$A150)</f>
        <v/>
      </c>
      <c r="C150" s="9">
        <f>SUMIFS(Actuals!$E:$E,Actuals!$A:$A,$A150)</f>
        <v/>
      </c>
      <c r="D150" s="9">
        <f>SUMIFS(Actuals!$F:$F,Actuals!$A:$A,$A150)</f>
        <v/>
      </c>
      <c r="E150" s="9">
        <f>SUMIFS(Actuals!$G:$G,Actuals!$A:$A,$A150)</f>
        <v/>
      </c>
      <c r="F150" s="9">
        <f>SUMIFS(Actuals!$H:$H,Actuals!$A:$A,$A150)</f>
        <v/>
      </c>
      <c r="G150" s="9">
        <f>SUMIFS(Actuals!$I:$I,Actuals!$A:$A,$A150)</f>
        <v/>
      </c>
      <c r="H150" s="9">
        <f>SUMIFS(Actuals!$J:$J,Actuals!$A:$A,$A150)</f>
        <v/>
      </c>
      <c r="I150" s="9">
        <f>SUMIFS(Actuals!$K:$K,Actuals!$A:$A,$A150)</f>
        <v/>
      </c>
      <c r="J150" s="9">
        <f>SUMIFS(Actuals!$L:$L,Actuals!$A:$A,$A150)</f>
        <v/>
      </c>
      <c r="K150" s="9">
        <f>SUMIFS(Actuals!$M:$M,Actuals!$A:$A,$A150)</f>
        <v/>
      </c>
      <c r="L150" s="9">
        <f>SUMIFS(Actuals!$N:$N,Actuals!$A:$A,$A150)</f>
        <v/>
      </c>
      <c r="M150" s="9">
        <f>SUMIFS(Actuals!$O:$O,Actuals!$A:$A,$A150)</f>
        <v/>
      </c>
      <c r="N150" s="10">
        <f>SUM(B150:M150)</f>
        <v/>
      </c>
    </row>
    <row r="151">
      <c r="A151" s="5" t="inlineStr">
        <is>
          <t>IT Network Service &amp; Support</t>
        </is>
      </c>
      <c r="B151" s="9">
        <f>SUMIFS(Actuals!$D:$D,Actuals!$A:$A,$A151)</f>
        <v/>
      </c>
      <c r="C151" s="9">
        <f>SUMIFS(Actuals!$E:$E,Actuals!$A:$A,$A151)</f>
        <v/>
      </c>
      <c r="D151" s="9">
        <f>SUMIFS(Actuals!$F:$F,Actuals!$A:$A,$A151)</f>
        <v/>
      </c>
      <c r="E151" s="9">
        <f>SUMIFS(Actuals!$G:$G,Actuals!$A:$A,$A151)</f>
        <v/>
      </c>
      <c r="F151" s="9">
        <f>SUMIFS(Actuals!$H:$H,Actuals!$A:$A,$A151)</f>
        <v/>
      </c>
      <c r="G151" s="9">
        <f>SUMIFS(Actuals!$I:$I,Actuals!$A:$A,$A151)</f>
        <v/>
      </c>
      <c r="H151" s="9">
        <f>SUMIFS(Actuals!$J:$J,Actuals!$A:$A,$A151)</f>
        <v/>
      </c>
      <c r="I151" s="9">
        <f>SUMIFS(Actuals!$K:$K,Actuals!$A:$A,$A151)</f>
        <v/>
      </c>
      <c r="J151" s="9">
        <f>SUMIFS(Actuals!$L:$L,Actuals!$A:$A,$A151)</f>
        <v/>
      </c>
      <c r="K151" s="9">
        <f>SUMIFS(Actuals!$M:$M,Actuals!$A:$A,$A151)</f>
        <v/>
      </c>
      <c r="L151" s="9">
        <f>SUMIFS(Actuals!$N:$N,Actuals!$A:$A,$A151)</f>
        <v/>
      </c>
      <c r="M151" s="9">
        <f>SUMIFS(Actuals!$O:$O,Actuals!$A:$A,$A151)</f>
        <v/>
      </c>
      <c r="N151" s="10">
        <f>SUM(B151:M151)</f>
        <v/>
      </c>
    </row>
    <row r="152">
      <c r="A152" s="5" t="inlineStr">
        <is>
          <t>Income Tax Expense</t>
        </is>
      </c>
      <c r="B152" s="9">
        <f>SUMIFS(Actuals!$D:$D,Actuals!$A:$A,$A152)</f>
        <v/>
      </c>
      <c r="C152" s="9">
        <f>SUMIFS(Actuals!$E:$E,Actuals!$A:$A,$A152)</f>
        <v/>
      </c>
      <c r="D152" s="9">
        <f>SUMIFS(Actuals!$F:$F,Actuals!$A:$A,$A152)</f>
        <v/>
      </c>
      <c r="E152" s="9">
        <f>SUMIFS(Actuals!$G:$G,Actuals!$A:$A,$A152)</f>
        <v/>
      </c>
      <c r="F152" s="9">
        <f>SUMIFS(Actuals!$H:$H,Actuals!$A:$A,$A152)</f>
        <v/>
      </c>
      <c r="G152" s="9">
        <f>SUMIFS(Actuals!$I:$I,Actuals!$A:$A,$A152)</f>
        <v/>
      </c>
      <c r="H152" s="9">
        <f>SUMIFS(Actuals!$J:$J,Actuals!$A:$A,$A152)</f>
        <v/>
      </c>
      <c r="I152" s="9">
        <f>SUMIFS(Actuals!$K:$K,Actuals!$A:$A,$A152)</f>
        <v/>
      </c>
      <c r="J152" s="9">
        <f>SUMIFS(Actuals!$L:$L,Actuals!$A:$A,$A152)</f>
        <v/>
      </c>
      <c r="K152" s="9">
        <f>SUMIFS(Actuals!$M:$M,Actuals!$A:$A,$A152)</f>
        <v/>
      </c>
      <c r="L152" s="9">
        <f>SUMIFS(Actuals!$N:$N,Actuals!$A:$A,$A152)</f>
        <v/>
      </c>
      <c r="M152" s="9">
        <f>SUMIFS(Actuals!$O:$O,Actuals!$A:$A,$A152)</f>
        <v/>
      </c>
      <c r="N152" s="10">
        <f>SUM(B152:M152)</f>
        <v/>
      </c>
    </row>
    <row r="153">
      <c r="A153" s="5" t="inlineStr">
        <is>
          <t>Indirect Salaries - ADMIN</t>
        </is>
      </c>
      <c r="B153" s="9">
        <f>SUMIFS(Actuals!$D:$D,Actuals!$A:$A,$A153)</f>
        <v/>
      </c>
      <c r="C153" s="9">
        <f>SUMIFS(Actuals!$E:$E,Actuals!$A:$A,$A153)</f>
        <v/>
      </c>
      <c r="D153" s="9">
        <f>SUMIFS(Actuals!$F:$F,Actuals!$A:$A,$A153)</f>
        <v/>
      </c>
      <c r="E153" s="9">
        <f>SUMIFS(Actuals!$G:$G,Actuals!$A:$A,$A153)</f>
        <v/>
      </c>
      <c r="F153" s="9">
        <f>SUMIFS(Actuals!$H:$H,Actuals!$A:$A,$A153)</f>
        <v/>
      </c>
      <c r="G153" s="9">
        <f>SUMIFS(Actuals!$I:$I,Actuals!$A:$A,$A153)</f>
        <v/>
      </c>
      <c r="H153" s="9">
        <f>SUMIFS(Actuals!$J:$J,Actuals!$A:$A,$A153)</f>
        <v/>
      </c>
      <c r="I153" s="9">
        <f>SUMIFS(Actuals!$K:$K,Actuals!$A:$A,$A153)</f>
        <v/>
      </c>
      <c r="J153" s="9">
        <f>SUMIFS(Actuals!$L:$L,Actuals!$A:$A,$A153)</f>
        <v/>
      </c>
      <c r="K153" s="9">
        <f>SUMIFS(Actuals!$M:$M,Actuals!$A:$A,$A153)</f>
        <v/>
      </c>
      <c r="L153" s="9">
        <f>SUMIFS(Actuals!$N:$N,Actuals!$A:$A,$A153)</f>
        <v/>
      </c>
      <c r="M153" s="9">
        <f>SUMIFS(Actuals!$O:$O,Actuals!$A:$A,$A153)</f>
        <v/>
      </c>
      <c r="N153" s="10">
        <f>SUM(B153:M153)</f>
        <v/>
      </c>
    </row>
    <row r="154">
      <c r="A154" s="5" t="inlineStr">
        <is>
          <t>Indirect Salaries - CONS</t>
        </is>
      </c>
      <c r="B154" s="9">
        <f>SUMIFS(Actuals!$D:$D,Actuals!$A:$A,$A154)</f>
        <v/>
      </c>
      <c r="C154" s="9">
        <f>SUMIFS(Actuals!$E:$E,Actuals!$A:$A,$A154)</f>
        <v/>
      </c>
      <c r="D154" s="9">
        <f>SUMIFS(Actuals!$F:$F,Actuals!$A:$A,$A154)</f>
        <v/>
      </c>
      <c r="E154" s="9">
        <f>SUMIFS(Actuals!$G:$G,Actuals!$A:$A,$A154)</f>
        <v/>
      </c>
      <c r="F154" s="9">
        <f>SUMIFS(Actuals!$H:$H,Actuals!$A:$A,$A154)</f>
        <v/>
      </c>
      <c r="G154" s="9">
        <f>SUMIFS(Actuals!$I:$I,Actuals!$A:$A,$A154)</f>
        <v/>
      </c>
      <c r="H154" s="9">
        <f>SUMIFS(Actuals!$J:$J,Actuals!$A:$A,$A154)</f>
        <v/>
      </c>
      <c r="I154" s="9">
        <f>SUMIFS(Actuals!$K:$K,Actuals!$A:$A,$A154)</f>
        <v/>
      </c>
      <c r="J154" s="9">
        <f>SUMIFS(Actuals!$L:$L,Actuals!$A:$A,$A154)</f>
        <v/>
      </c>
      <c r="K154" s="9">
        <f>SUMIFS(Actuals!$M:$M,Actuals!$A:$A,$A154)</f>
        <v/>
      </c>
      <c r="L154" s="9">
        <f>SUMIFS(Actuals!$N:$N,Actuals!$A:$A,$A154)</f>
        <v/>
      </c>
      <c r="M154" s="9">
        <f>SUMIFS(Actuals!$O:$O,Actuals!$A:$A,$A154)</f>
        <v/>
      </c>
      <c r="N154" s="10">
        <f>SUM(B154:M154)</f>
        <v/>
      </c>
    </row>
    <row r="155">
      <c r="A155" s="5" t="inlineStr">
        <is>
          <t>Indirect Salaries - INTEGRATION</t>
        </is>
      </c>
      <c r="B155" s="9">
        <f>SUMIFS(Actuals!$D:$D,Actuals!$A:$A,$A155)</f>
        <v/>
      </c>
      <c r="C155" s="9">
        <f>SUMIFS(Actuals!$E:$E,Actuals!$A:$A,$A155)</f>
        <v/>
      </c>
      <c r="D155" s="9">
        <f>SUMIFS(Actuals!$F:$F,Actuals!$A:$A,$A155)</f>
        <v/>
      </c>
      <c r="E155" s="9">
        <f>SUMIFS(Actuals!$G:$G,Actuals!$A:$A,$A155)</f>
        <v/>
      </c>
      <c r="F155" s="9">
        <f>SUMIFS(Actuals!$H:$H,Actuals!$A:$A,$A155)</f>
        <v/>
      </c>
      <c r="G155" s="9">
        <f>SUMIFS(Actuals!$I:$I,Actuals!$A:$A,$A155)</f>
        <v/>
      </c>
      <c r="H155" s="9">
        <f>SUMIFS(Actuals!$J:$J,Actuals!$A:$A,$A155)</f>
        <v/>
      </c>
      <c r="I155" s="9">
        <f>SUMIFS(Actuals!$K:$K,Actuals!$A:$A,$A155)</f>
        <v/>
      </c>
      <c r="J155" s="9">
        <f>SUMIFS(Actuals!$L:$L,Actuals!$A:$A,$A155)</f>
        <v/>
      </c>
      <c r="K155" s="9">
        <f>SUMIFS(Actuals!$M:$M,Actuals!$A:$A,$A155)</f>
        <v/>
      </c>
      <c r="L155" s="9">
        <f>SUMIFS(Actuals!$N:$N,Actuals!$A:$A,$A155)</f>
        <v/>
      </c>
      <c r="M155" s="9">
        <f>SUMIFS(Actuals!$O:$O,Actuals!$A:$A,$A155)</f>
        <v/>
      </c>
      <c r="N155" s="10">
        <f>SUM(B155:M155)</f>
        <v/>
      </c>
    </row>
    <row r="156">
      <c r="A156" s="5" t="inlineStr">
        <is>
          <t>Indirect Salaries - ONS</t>
        </is>
      </c>
      <c r="B156" s="9">
        <f>SUMIFS(Actuals!$D:$D,Actuals!$A:$A,$A156)</f>
        <v/>
      </c>
      <c r="C156" s="9">
        <f>SUMIFS(Actuals!$E:$E,Actuals!$A:$A,$A156)</f>
        <v/>
      </c>
      <c r="D156" s="9">
        <f>SUMIFS(Actuals!$F:$F,Actuals!$A:$A,$A156)</f>
        <v/>
      </c>
      <c r="E156" s="9">
        <f>SUMIFS(Actuals!$G:$G,Actuals!$A:$A,$A156)</f>
        <v/>
      </c>
      <c r="F156" s="9">
        <f>SUMIFS(Actuals!$H:$H,Actuals!$A:$A,$A156)</f>
        <v/>
      </c>
      <c r="G156" s="9">
        <f>SUMIFS(Actuals!$I:$I,Actuals!$A:$A,$A156)</f>
        <v/>
      </c>
      <c r="H156" s="9">
        <f>SUMIFS(Actuals!$J:$J,Actuals!$A:$A,$A156)</f>
        <v/>
      </c>
      <c r="I156" s="9">
        <f>SUMIFS(Actuals!$K:$K,Actuals!$A:$A,$A156)</f>
        <v/>
      </c>
      <c r="J156" s="9">
        <f>SUMIFS(Actuals!$L:$L,Actuals!$A:$A,$A156)</f>
        <v/>
      </c>
      <c r="K156" s="9">
        <f>SUMIFS(Actuals!$M:$M,Actuals!$A:$A,$A156)</f>
        <v/>
      </c>
      <c r="L156" s="9">
        <f>SUMIFS(Actuals!$N:$N,Actuals!$A:$A,$A156)</f>
        <v/>
      </c>
      <c r="M156" s="9">
        <f>SUMIFS(Actuals!$O:$O,Actuals!$A:$A,$A156)</f>
        <v/>
      </c>
      <c r="N156" s="10">
        <f>SUM(B156:M156)</f>
        <v/>
      </c>
    </row>
    <row r="157">
      <c r="A157" s="5" t="inlineStr">
        <is>
          <t>Indirect Salaries - PRD</t>
        </is>
      </c>
      <c r="B157" s="9">
        <f>SUMIFS(Actuals!$D:$D,Actuals!$A:$A,$A157)</f>
        <v/>
      </c>
      <c r="C157" s="9">
        <f>SUMIFS(Actuals!$E:$E,Actuals!$A:$A,$A157)</f>
        <v/>
      </c>
      <c r="D157" s="9">
        <f>SUMIFS(Actuals!$F:$F,Actuals!$A:$A,$A157)</f>
        <v/>
      </c>
      <c r="E157" s="9">
        <f>SUMIFS(Actuals!$G:$G,Actuals!$A:$A,$A157)</f>
        <v/>
      </c>
      <c r="F157" s="9">
        <f>SUMIFS(Actuals!$H:$H,Actuals!$A:$A,$A157)</f>
        <v/>
      </c>
      <c r="G157" s="9">
        <f>SUMIFS(Actuals!$I:$I,Actuals!$A:$A,$A157)</f>
        <v/>
      </c>
      <c r="H157" s="9">
        <f>SUMIFS(Actuals!$J:$J,Actuals!$A:$A,$A157)</f>
        <v/>
      </c>
      <c r="I157" s="9">
        <f>SUMIFS(Actuals!$K:$K,Actuals!$A:$A,$A157)</f>
        <v/>
      </c>
      <c r="J157" s="9">
        <f>SUMIFS(Actuals!$L:$L,Actuals!$A:$A,$A157)</f>
        <v/>
      </c>
      <c r="K157" s="9">
        <f>SUMIFS(Actuals!$M:$M,Actuals!$A:$A,$A157)</f>
        <v/>
      </c>
      <c r="L157" s="9">
        <f>SUMIFS(Actuals!$N:$N,Actuals!$A:$A,$A157)</f>
        <v/>
      </c>
      <c r="M157" s="9">
        <f>SUMIFS(Actuals!$O:$O,Actuals!$A:$A,$A157)</f>
        <v/>
      </c>
      <c r="N157" s="10">
        <f>SUM(B157:M157)</f>
        <v/>
      </c>
    </row>
    <row r="158">
      <c r="A158" s="5" t="inlineStr">
        <is>
          <t>Indirect Salaries - VID</t>
        </is>
      </c>
      <c r="B158" s="9">
        <f>SUMIFS(Actuals!$D:$D,Actuals!$A:$A,$A158)</f>
        <v/>
      </c>
      <c r="C158" s="9">
        <f>SUMIFS(Actuals!$E:$E,Actuals!$A:$A,$A158)</f>
        <v/>
      </c>
      <c r="D158" s="9">
        <f>SUMIFS(Actuals!$F:$F,Actuals!$A:$A,$A158)</f>
        <v/>
      </c>
      <c r="E158" s="9">
        <f>SUMIFS(Actuals!$G:$G,Actuals!$A:$A,$A158)</f>
        <v/>
      </c>
      <c r="F158" s="9">
        <f>SUMIFS(Actuals!$H:$H,Actuals!$A:$A,$A158)</f>
        <v/>
      </c>
      <c r="G158" s="9">
        <f>SUMIFS(Actuals!$I:$I,Actuals!$A:$A,$A158)</f>
        <v/>
      </c>
      <c r="H158" s="9">
        <f>SUMIFS(Actuals!$J:$J,Actuals!$A:$A,$A158)</f>
        <v/>
      </c>
      <c r="I158" s="9">
        <f>SUMIFS(Actuals!$K:$K,Actuals!$A:$A,$A158)</f>
        <v/>
      </c>
      <c r="J158" s="9">
        <f>SUMIFS(Actuals!$L:$L,Actuals!$A:$A,$A158)</f>
        <v/>
      </c>
      <c r="K158" s="9">
        <f>SUMIFS(Actuals!$M:$M,Actuals!$A:$A,$A158)</f>
        <v/>
      </c>
      <c r="L158" s="9">
        <f>SUMIFS(Actuals!$N:$N,Actuals!$A:$A,$A158)</f>
        <v/>
      </c>
      <c r="M158" s="9">
        <f>SUMIFS(Actuals!$O:$O,Actuals!$A:$A,$A158)</f>
        <v/>
      </c>
      <c r="N158" s="10">
        <f>SUM(B158:M158)</f>
        <v/>
      </c>
    </row>
    <row r="159">
      <c r="A159" s="5" t="inlineStr">
        <is>
          <t>Indirect Wages - ADMIN</t>
        </is>
      </c>
      <c r="B159" s="9">
        <f>SUMIFS(Actuals!$D:$D,Actuals!$A:$A,$A159)</f>
        <v/>
      </c>
      <c r="C159" s="9">
        <f>SUMIFS(Actuals!$E:$E,Actuals!$A:$A,$A159)</f>
        <v/>
      </c>
      <c r="D159" s="9">
        <f>SUMIFS(Actuals!$F:$F,Actuals!$A:$A,$A159)</f>
        <v/>
      </c>
      <c r="E159" s="9">
        <f>SUMIFS(Actuals!$G:$G,Actuals!$A:$A,$A159)</f>
        <v/>
      </c>
      <c r="F159" s="9">
        <f>SUMIFS(Actuals!$H:$H,Actuals!$A:$A,$A159)</f>
        <v/>
      </c>
      <c r="G159" s="9">
        <f>SUMIFS(Actuals!$I:$I,Actuals!$A:$A,$A159)</f>
        <v/>
      </c>
      <c r="H159" s="9">
        <f>SUMIFS(Actuals!$J:$J,Actuals!$A:$A,$A159)</f>
        <v/>
      </c>
      <c r="I159" s="9">
        <f>SUMIFS(Actuals!$K:$K,Actuals!$A:$A,$A159)</f>
        <v/>
      </c>
      <c r="J159" s="9">
        <f>SUMIFS(Actuals!$L:$L,Actuals!$A:$A,$A159)</f>
        <v/>
      </c>
      <c r="K159" s="9">
        <f>SUMIFS(Actuals!$M:$M,Actuals!$A:$A,$A159)</f>
        <v/>
      </c>
      <c r="L159" s="9">
        <f>SUMIFS(Actuals!$N:$N,Actuals!$A:$A,$A159)</f>
        <v/>
      </c>
      <c r="M159" s="9">
        <f>SUMIFS(Actuals!$O:$O,Actuals!$A:$A,$A159)</f>
        <v/>
      </c>
      <c r="N159" s="10">
        <f>SUM(B159:M159)</f>
        <v/>
      </c>
    </row>
    <row r="160">
      <c r="A160" s="5" t="inlineStr">
        <is>
          <t>Indirect Wages - CONS</t>
        </is>
      </c>
      <c r="B160" s="9">
        <f>SUMIFS(Actuals!$D:$D,Actuals!$A:$A,$A160)</f>
        <v/>
      </c>
      <c r="C160" s="9">
        <f>SUMIFS(Actuals!$E:$E,Actuals!$A:$A,$A160)</f>
        <v/>
      </c>
      <c r="D160" s="9">
        <f>SUMIFS(Actuals!$F:$F,Actuals!$A:$A,$A160)</f>
        <v/>
      </c>
      <c r="E160" s="9">
        <f>SUMIFS(Actuals!$G:$G,Actuals!$A:$A,$A160)</f>
        <v/>
      </c>
      <c r="F160" s="9">
        <f>SUMIFS(Actuals!$H:$H,Actuals!$A:$A,$A160)</f>
        <v/>
      </c>
      <c r="G160" s="9">
        <f>SUMIFS(Actuals!$I:$I,Actuals!$A:$A,$A160)</f>
        <v/>
      </c>
      <c r="H160" s="9">
        <f>SUMIFS(Actuals!$J:$J,Actuals!$A:$A,$A160)</f>
        <v/>
      </c>
      <c r="I160" s="9">
        <f>SUMIFS(Actuals!$K:$K,Actuals!$A:$A,$A160)</f>
        <v/>
      </c>
      <c r="J160" s="9">
        <f>SUMIFS(Actuals!$L:$L,Actuals!$A:$A,$A160)</f>
        <v/>
      </c>
      <c r="K160" s="9">
        <f>SUMIFS(Actuals!$M:$M,Actuals!$A:$A,$A160)</f>
        <v/>
      </c>
      <c r="L160" s="9">
        <f>SUMIFS(Actuals!$N:$N,Actuals!$A:$A,$A160)</f>
        <v/>
      </c>
      <c r="M160" s="9">
        <f>SUMIFS(Actuals!$O:$O,Actuals!$A:$A,$A160)</f>
        <v/>
      </c>
      <c r="N160" s="10">
        <f>SUM(B160:M160)</f>
        <v/>
      </c>
    </row>
    <row r="161">
      <c r="A161" s="5" t="inlineStr">
        <is>
          <t>Indirect Wages - INTEGRATION</t>
        </is>
      </c>
      <c r="B161" s="9">
        <f>SUMIFS(Actuals!$D:$D,Actuals!$A:$A,$A161)</f>
        <v/>
      </c>
      <c r="C161" s="9">
        <f>SUMIFS(Actuals!$E:$E,Actuals!$A:$A,$A161)</f>
        <v/>
      </c>
      <c r="D161" s="9">
        <f>SUMIFS(Actuals!$F:$F,Actuals!$A:$A,$A161)</f>
        <v/>
      </c>
      <c r="E161" s="9">
        <f>SUMIFS(Actuals!$G:$G,Actuals!$A:$A,$A161)</f>
        <v/>
      </c>
      <c r="F161" s="9">
        <f>SUMIFS(Actuals!$H:$H,Actuals!$A:$A,$A161)</f>
        <v/>
      </c>
      <c r="G161" s="9">
        <f>SUMIFS(Actuals!$I:$I,Actuals!$A:$A,$A161)</f>
        <v/>
      </c>
      <c r="H161" s="9">
        <f>SUMIFS(Actuals!$J:$J,Actuals!$A:$A,$A161)</f>
        <v/>
      </c>
      <c r="I161" s="9">
        <f>SUMIFS(Actuals!$K:$K,Actuals!$A:$A,$A161)</f>
        <v/>
      </c>
      <c r="J161" s="9">
        <f>SUMIFS(Actuals!$L:$L,Actuals!$A:$A,$A161)</f>
        <v/>
      </c>
      <c r="K161" s="9">
        <f>SUMIFS(Actuals!$M:$M,Actuals!$A:$A,$A161)</f>
        <v/>
      </c>
      <c r="L161" s="9">
        <f>SUMIFS(Actuals!$N:$N,Actuals!$A:$A,$A161)</f>
        <v/>
      </c>
      <c r="M161" s="9">
        <f>SUMIFS(Actuals!$O:$O,Actuals!$A:$A,$A161)</f>
        <v/>
      </c>
      <c r="N161" s="10">
        <f>SUM(B161:M161)</f>
        <v/>
      </c>
    </row>
    <row r="162">
      <c r="A162" s="5" t="inlineStr">
        <is>
          <t>Indirect Wages - ONS</t>
        </is>
      </c>
      <c r="B162" s="9">
        <f>SUMIFS(Actuals!$D:$D,Actuals!$A:$A,$A162)</f>
        <v/>
      </c>
      <c r="C162" s="9">
        <f>SUMIFS(Actuals!$E:$E,Actuals!$A:$A,$A162)</f>
        <v/>
      </c>
      <c r="D162" s="9">
        <f>SUMIFS(Actuals!$F:$F,Actuals!$A:$A,$A162)</f>
        <v/>
      </c>
      <c r="E162" s="9">
        <f>SUMIFS(Actuals!$G:$G,Actuals!$A:$A,$A162)</f>
        <v/>
      </c>
      <c r="F162" s="9">
        <f>SUMIFS(Actuals!$H:$H,Actuals!$A:$A,$A162)</f>
        <v/>
      </c>
      <c r="G162" s="9">
        <f>SUMIFS(Actuals!$I:$I,Actuals!$A:$A,$A162)</f>
        <v/>
      </c>
      <c r="H162" s="9">
        <f>SUMIFS(Actuals!$J:$J,Actuals!$A:$A,$A162)</f>
        <v/>
      </c>
      <c r="I162" s="9">
        <f>SUMIFS(Actuals!$K:$K,Actuals!$A:$A,$A162)</f>
        <v/>
      </c>
      <c r="J162" s="9">
        <f>SUMIFS(Actuals!$L:$L,Actuals!$A:$A,$A162)</f>
        <v/>
      </c>
      <c r="K162" s="9">
        <f>SUMIFS(Actuals!$M:$M,Actuals!$A:$A,$A162)</f>
        <v/>
      </c>
      <c r="L162" s="9">
        <f>SUMIFS(Actuals!$N:$N,Actuals!$A:$A,$A162)</f>
        <v/>
      </c>
      <c r="M162" s="9">
        <f>SUMIFS(Actuals!$O:$O,Actuals!$A:$A,$A162)</f>
        <v/>
      </c>
      <c r="N162" s="10">
        <f>SUM(B162:M162)</f>
        <v/>
      </c>
    </row>
    <row r="163">
      <c r="A163" s="5" t="inlineStr">
        <is>
          <t>Indirect Wages - PRD</t>
        </is>
      </c>
      <c r="B163" s="9">
        <f>SUMIFS(Actuals!$D:$D,Actuals!$A:$A,$A163)</f>
        <v/>
      </c>
      <c r="C163" s="9">
        <f>SUMIFS(Actuals!$E:$E,Actuals!$A:$A,$A163)</f>
        <v/>
      </c>
      <c r="D163" s="9">
        <f>SUMIFS(Actuals!$F:$F,Actuals!$A:$A,$A163)</f>
        <v/>
      </c>
      <c r="E163" s="9">
        <f>SUMIFS(Actuals!$G:$G,Actuals!$A:$A,$A163)</f>
        <v/>
      </c>
      <c r="F163" s="9">
        <f>SUMIFS(Actuals!$H:$H,Actuals!$A:$A,$A163)</f>
        <v/>
      </c>
      <c r="G163" s="9">
        <f>SUMIFS(Actuals!$I:$I,Actuals!$A:$A,$A163)</f>
        <v/>
      </c>
      <c r="H163" s="9">
        <f>SUMIFS(Actuals!$J:$J,Actuals!$A:$A,$A163)</f>
        <v/>
      </c>
      <c r="I163" s="9">
        <f>SUMIFS(Actuals!$K:$K,Actuals!$A:$A,$A163)</f>
        <v/>
      </c>
      <c r="J163" s="9">
        <f>SUMIFS(Actuals!$L:$L,Actuals!$A:$A,$A163)</f>
        <v/>
      </c>
      <c r="K163" s="9">
        <f>SUMIFS(Actuals!$M:$M,Actuals!$A:$A,$A163)</f>
        <v/>
      </c>
      <c r="L163" s="9">
        <f>SUMIFS(Actuals!$N:$N,Actuals!$A:$A,$A163)</f>
        <v/>
      </c>
      <c r="M163" s="9">
        <f>SUMIFS(Actuals!$O:$O,Actuals!$A:$A,$A163)</f>
        <v/>
      </c>
      <c r="N163" s="10">
        <f>SUM(B163:M163)</f>
        <v/>
      </c>
    </row>
    <row r="164">
      <c r="A164" s="5" t="inlineStr">
        <is>
          <t>Indirect Wages - VID</t>
        </is>
      </c>
      <c r="B164" s="9">
        <f>SUMIFS(Actuals!$D:$D,Actuals!$A:$A,$A164)</f>
        <v/>
      </c>
      <c r="C164" s="9">
        <f>SUMIFS(Actuals!$E:$E,Actuals!$A:$A,$A164)</f>
        <v/>
      </c>
      <c r="D164" s="9">
        <f>SUMIFS(Actuals!$F:$F,Actuals!$A:$A,$A164)</f>
        <v/>
      </c>
      <c r="E164" s="9">
        <f>SUMIFS(Actuals!$G:$G,Actuals!$A:$A,$A164)</f>
        <v/>
      </c>
      <c r="F164" s="9">
        <f>SUMIFS(Actuals!$H:$H,Actuals!$A:$A,$A164)</f>
        <v/>
      </c>
      <c r="G164" s="9">
        <f>SUMIFS(Actuals!$I:$I,Actuals!$A:$A,$A164)</f>
        <v/>
      </c>
      <c r="H164" s="9">
        <f>SUMIFS(Actuals!$J:$J,Actuals!$A:$A,$A164)</f>
        <v/>
      </c>
      <c r="I164" s="9">
        <f>SUMIFS(Actuals!$K:$K,Actuals!$A:$A,$A164)</f>
        <v/>
      </c>
      <c r="J164" s="9">
        <f>SUMIFS(Actuals!$L:$L,Actuals!$A:$A,$A164)</f>
        <v/>
      </c>
      <c r="K164" s="9">
        <f>SUMIFS(Actuals!$M:$M,Actuals!$A:$A,$A164)</f>
        <v/>
      </c>
      <c r="L164" s="9">
        <f>SUMIFS(Actuals!$N:$N,Actuals!$A:$A,$A164)</f>
        <v/>
      </c>
      <c r="M164" s="9">
        <f>SUMIFS(Actuals!$O:$O,Actuals!$A:$A,$A164)</f>
        <v/>
      </c>
      <c r="N164" s="10">
        <f>SUM(B164:M164)</f>
        <v/>
      </c>
    </row>
    <row r="165">
      <c r="A165" s="5" t="inlineStr">
        <is>
          <t>Instant Asset Write Off</t>
        </is>
      </c>
      <c r="B165" s="9">
        <f>SUMIFS(Actuals!$D:$D,Actuals!$A:$A,$A165)</f>
        <v/>
      </c>
      <c r="C165" s="9">
        <f>SUMIFS(Actuals!$E:$E,Actuals!$A:$A,$A165)</f>
        <v/>
      </c>
      <c r="D165" s="9">
        <f>SUMIFS(Actuals!$F:$F,Actuals!$A:$A,$A165)</f>
        <v/>
      </c>
      <c r="E165" s="9">
        <f>SUMIFS(Actuals!$G:$G,Actuals!$A:$A,$A165)</f>
        <v/>
      </c>
      <c r="F165" s="9">
        <f>SUMIFS(Actuals!$H:$H,Actuals!$A:$A,$A165)</f>
        <v/>
      </c>
      <c r="G165" s="9">
        <f>SUMIFS(Actuals!$I:$I,Actuals!$A:$A,$A165)</f>
        <v/>
      </c>
      <c r="H165" s="9">
        <f>SUMIFS(Actuals!$J:$J,Actuals!$A:$A,$A165)</f>
        <v/>
      </c>
      <c r="I165" s="9">
        <f>SUMIFS(Actuals!$K:$K,Actuals!$A:$A,$A165)</f>
        <v/>
      </c>
      <c r="J165" s="9">
        <f>SUMIFS(Actuals!$L:$L,Actuals!$A:$A,$A165)</f>
        <v/>
      </c>
      <c r="K165" s="9">
        <f>SUMIFS(Actuals!$M:$M,Actuals!$A:$A,$A165)</f>
        <v/>
      </c>
      <c r="L165" s="9">
        <f>SUMIFS(Actuals!$N:$N,Actuals!$A:$A,$A165)</f>
        <v/>
      </c>
      <c r="M165" s="9">
        <f>SUMIFS(Actuals!$O:$O,Actuals!$A:$A,$A165)</f>
        <v/>
      </c>
      <c r="N165" s="10">
        <f>SUM(B165:M165)</f>
        <v/>
      </c>
    </row>
    <row r="166">
      <c r="A166" s="5" t="inlineStr">
        <is>
          <t>Insurance</t>
        </is>
      </c>
      <c r="B166" s="9">
        <f>SUMIFS(Actuals!$D:$D,Actuals!$A:$A,$A166)</f>
        <v/>
      </c>
      <c r="C166" s="9">
        <f>SUMIFS(Actuals!$E:$E,Actuals!$A:$A,$A166)</f>
        <v/>
      </c>
      <c r="D166" s="9">
        <f>SUMIFS(Actuals!$F:$F,Actuals!$A:$A,$A166)</f>
        <v/>
      </c>
      <c r="E166" s="9">
        <f>SUMIFS(Actuals!$G:$G,Actuals!$A:$A,$A166)</f>
        <v/>
      </c>
      <c r="F166" s="9">
        <f>SUMIFS(Actuals!$H:$H,Actuals!$A:$A,$A166)</f>
        <v/>
      </c>
      <c r="G166" s="9">
        <f>SUMIFS(Actuals!$I:$I,Actuals!$A:$A,$A166)</f>
        <v/>
      </c>
      <c r="H166" s="9">
        <f>SUMIFS(Actuals!$J:$J,Actuals!$A:$A,$A166)</f>
        <v/>
      </c>
      <c r="I166" s="9">
        <f>SUMIFS(Actuals!$K:$K,Actuals!$A:$A,$A166)</f>
        <v/>
      </c>
      <c r="J166" s="9">
        <f>SUMIFS(Actuals!$L:$L,Actuals!$A:$A,$A166)</f>
        <v/>
      </c>
      <c r="K166" s="9">
        <f>SUMIFS(Actuals!$M:$M,Actuals!$A:$A,$A166)</f>
        <v/>
      </c>
      <c r="L166" s="9">
        <f>SUMIFS(Actuals!$N:$N,Actuals!$A:$A,$A166)</f>
        <v/>
      </c>
      <c r="M166" s="9">
        <f>SUMIFS(Actuals!$O:$O,Actuals!$A:$A,$A166)</f>
        <v/>
      </c>
      <c r="N166" s="10">
        <f>SUM(B166:M166)</f>
        <v/>
      </c>
    </row>
    <row r="167">
      <c r="A167" s="5" t="inlineStr">
        <is>
          <t>Interest Expense</t>
        </is>
      </c>
      <c r="B167" s="9">
        <f>SUMIFS(Actuals!$D:$D,Actuals!$A:$A,$A167)</f>
        <v/>
      </c>
      <c r="C167" s="9">
        <f>SUMIFS(Actuals!$E:$E,Actuals!$A:$A,$A167)</f>
        <v/>
      </c>
      <c r="D167" s="9">
        <f>SUMIFS(Actuals!$F:$F,Actuals!$A:$A,$A167)</f>
        <v/>
      </c>
      <c r="E167" s="9">
        <f>SUMIFS(Actuals!$G:$G,Actuals!$A:$A,$A167)</f>
        <v/>
      </c>
      <c r="F167" s="9">
        <f>SUMIFS(Actuals!$H:$H,Actuals!$A:$A,$A167)</f>
        <v/>
      </c>
      <c r="G167" s="9">
        <f>SUMIFS(Actuals!$I:$I,Actuals!$A:$A,$A167)</f>
        <v/>
      </c>
      <c r="H167" s="9">
        <f>SUMIFS(Actuals!$J:$J,Actuals!$A:$A,$A167)</f>
        <v/>
      </c>
      <c r="I167" s="9">
        <f>SUMIFS(Actuals!$K:$K,Actuals!$A:$A,$A167)</f>
        <v/>
      </c>
      <c r="J167" s="9">
        <f>SUMIFS(Actuals!$L:$L,Actuals!$A:$A,$A167)</f>
        <v/>
      </c>
      <c r="K167" s="9">
        <f>SUMIFS(Actuals!$M:$M,Actuals!$A:$A,$A167)</f>
        <v/>
      </c>
      <c r="L167" s="9">
        <f>SUMIFS(Actuals!$N:$N,Actuals!$A:$A,$A167)</f>
        <v/>
      </c>
      <c r="M167" s="9">
        <f>SUMIFS(Actuals!$O:$O,Actuals!$A:$A,$A167)</f>
        <v/>
      </c>
      <c r="N167" s="10">
        <f>SUM(B167:M167)</f>
        <v/>
      </c>
    </row>
    <row r="168">
      <c r="A168" s="5" t="inlineStr">
        <is>
          <t>Internet</t>
        </is>
      </c>
      <c r="B168" s="9">
        <f>SUMIFS(Actuals!$D:$D,Actuals!$A:$A,$A168)</f>
        <v/>
      </c>
      <c r="C168" s="9">
        <f>SUMIFS(Actuals!$E:$E,Actuals!$A:$A,$A168)</f>
        <v/>
      </c>
      <c r="D168" s="9">
        <f>SUMIFS(Actuals!$F:$F,Actuals!$A:$A,$A168)</f>
        <v/>
      </c>
      <c r="E168" s="9">
        <f>SUMIFS(Actuals!$G:$G,Actuals!$A:$A,$A168)</f>
        <v/>
      </c>
      <c r="F168" s="9">
        <f>SUMIFS(Actuals!$H:$H,Actuals!$A:$A,$A168)</f>
        <v/>
      </c>
      <c r="G168" s="9">
        <f>SUMIFS(Actuals!$I:$I,Actuals!$A:$A,$A168)</f>
        <v/>
      </c>
      <c r="H168" s="9">
        <f>SUMIFS(Actuals!$J:$J,Actuals!$A:$A,$A168)</f>
        <v/>
      </c>
      <c r="I168" s="9">
        <f>SUMIFS(Actuals!$K:$K,Actuals!$A:$A,$A168)</f>
        <v/>
      </c>
      <c r="J168" s="9">
        <f>SUMIFS(Actuals!$L:$L,Actuals!$A:$A,$A168)</f>
        <v/>
      </c>
      <c r="K168" s="9">
        <f>SUMIFS(Actuals!$M:$M,Actuals!$A:$A,$A168)</f>
        <v/>
      </c>
      <c r="L168" s="9">
        <f>SUMIFS(Actuals!$N:$N,Actuals!$A:$A,$A168)</f>
        <v/>
      </c>
      <c r="M168" s="9">
        <f>SUMIFS(Actuals!$O:$O,Actuals!$A:$A,$A168)</f>
        <v/>
      </c>
      <c r="N168" s="10">
        <f>SUM(B168:M168)</f>
        <v/>
      </c>
    </row>
    <row r="169">
      <c r="A169" s="5" t="inlineStr">
        <is>
          <t>Leave expense (Annual)</t>
        </is>
      </c>
      <c r="B169" s="9">
        <f>SUMIFS(Actuals!$D:$D,Actuals!$A:$A,$A169)</f>
        <v/>
      </c>
      <c r="C169" s="9">
        <f>SUMIFS(Actuals!$E:$E,Actuals!$A:$A,$A169)</f>
        <v/>
      </c>
      <c r="D169" s="9">
        <f>SUMIFS(Actuals!$F:$F,Actuals!$A:$A,$A169)</f>
        <v/>
      </c>
      <c r="E169" s="9">
        <f>SUMIFS(Actuals!$G:$G,Actuals!$A:$A,$A169)</f>
        <v/>
      </c>
      <c r="F169" s="9">
        <f>SUMIFS(Actuals!$H:$H,Actuals!$A:$A,$A169)</f>
        <v/>
      </c>
      <c r="G169" s="9">
        <f>SUMIFS(Actuals!$I:$I,Actuals!$A:$A,$A169)</f>
        <v/>
      </c>
      <c r="H169" s="9">
        <f>SUMIFS(Actuals!$J:$J,Actuals!$A:$A,$A169)</f>
        <v/>
      </c>
      <c r="I169" s="9">
        <f>SUMIFS(Actuals!$K:$K,Actuals!$A:$A,$A169)</f>
        <v/>
      </c>
      <c r="J169" s="9">
        <f>SUMIFS(Actuals!$L:$L,Actuals!$A:$A,$A169)</f>
        <v/>
      </c>
      <c r="K169" s="9">
        <f>SUMIFS(Actuals!$M:$M,Actuals!$A:$A,$A169)</f>
        <v/>
      </c>
      <c r="L169" s="9">
        <f>SUMIFS(Actuals!$N:$N,Actuals!$A:$A,$A169)</f>
        <v/>
      </c>
      <c r="M169" s="9">
        <f>SUMIFS(Actuals!$O:$O,Actuals!$A:$A,$A169)</f>
        <v/>
      </c>
      <c r="N169" s="10">
        <f>SUM(B169:M169)</f>
        <v/>
      </c>
    </row>
    <row r="170">
      <c r="A170" s="5" t="inlineStr">
        <is>
          <t>Leave expense (Long Service)</t>
        </is>
      </c>
      <c r="B170" s="9">
        <f>SUMIFS(Actuals!$D:$D,Actuals!$A:$A,$A170)</f>
        <v/>
      </c>
      <c r="C170" s="9">
        <f>SUMIFS(Actuals!$E:$E,Actuals!$A:$A,$A170)</f>
        <v/>
      </c>
      <c r="D170" s="9">
        <f>SUMIFS(Actuals!$F:$F,Actuals!$A:$A,$A170)</f>
        <v/>
      </c>
      <c r="E170" s="9">
        <f>SUMIFS(Actuals!$G:$G,Actuals!$A:$A,$A170)</f>
        <v/>
      </c>
      <c r="F170" s="9">
        <f>SUMIFS(Actuals!$H:$H,Actuals!$A:$A,$A170)</f>
        <v/>
      </c>
      <c r="G170" s="9">
        <f>SUMIFS(Actuals!$I:$I,Actuals!$A:$A,$A170)</f>
        <v/>
      </c>
      <c r="H170" s="9">
        <f>SUMIFS(Actuals!$J:$J,Actuals!$A:$A,$A170)</f>
        <v/>
      </c>
      <c r="I170" s="9">
        <f>SUMIFS(Actuals!$K:$K,Actuals!$A:$A,$A170)</f>
        <v/>
      </c>
      <c r="J170" s="9">
        <f>SUMIFS(Actuals!$L:$L,Actuals!$A:$A,$A170)</f>
        <v/>
      </c>
      <c r="K170" s="9">
        <f>SUMIFS(Actuals!$M:$M,Actuals!$A:$A,$A170)</f>
        <v/>
      </c>
      <c r="L170" s="9">
        <f>SUMIFS(Actuals!$N:$N,Actuals!$A:$A,$A170)</f>
        <v/>
      </c>
      <c r="M170" s="9">
        <f>SUMIFS(Actuals!$O:$O,Actuals!$A:$A,$A170)</f>
        <v/>
      </c>
      <c r="N170" s="10">
        <f>SUM(B170:M170)</f>
        <v/>
      </c>
    </row>
    <row r="171">
      <c r="A171" s="5" t="inlineStr">
        <is>
          <t>Legal Fees</t>
        </is>
      </c>
      <c r="B171" s="9">
        <f>SUMIFS(Actuals!$D:$D,Actuals!$A:$A,$A171)</f>
        <v/>
      </c>
      <c r="C171" s="9">
        <f>SUMIFS(Actuals!$E:$E,Actuals!$A:$A,$A171)</f>
        <v/>
      </c>
      <c r="D171" s="9">
        <f>SUMIFS(Actuals!$F:$F,Actuals!$A:$A,$A171)</f>
        <v/>
      </c>
      <c r="E171" s="9">
        <f>SUMIFS(Actuals!$G:$G,Actuals!$A:$A,$A171)</f>
        <v/>
      </c>
      <c r="F171" s="9">
        <f>SUMIFS(Actuals!$H:$H,Actuals!$A:$A,$A171)</f>
        <v/>
      </c>
      <c r="G171" s="9">
        <f>SUMIFS(Actuals!$I:$I,Actuals!$A:$A,$A171)</f>
        <v/>
      </c>
      <c r="H171" s="9">
        <f>SUMIFS(Actuals!$J:$J,Actuals!$A:$A,$A171)</f>
        <v/>
      </c>
      <c r="I171" s="9">
        <f>SUMIFS(Actuals!$K:$K,Actuals!$A:$A,$A171)</f>
        <v/>
      </c>
      <c r="J171" s="9">
        <f>SUMIFS(Actuals!$L:$L,Actuals!$A:$A,$A171)</f>
        <v/>
      </c>
      <c r="K171" s="9">
        <f>SUMIFS(Actuals!$M:$M,Actuals!$A:$A,$A171)</f>
        <v/>
      </c>
      <c r="L171" s="9">
        <f>SUMIFS(Actuals!$N:$N,Actuals!$A:$A,$A171)</f>
        <v/>
      </c>
      <c r="M171" s="9">
        <f>SUMIFS(Actuals!$O:$O,Actuals!$A:$A,$A171)</f>
        <v/>
      </c>
      <c r="N171" s="10">
        <f>SUM(B171:M171)</f>
        <v/>
      </c>
    </row>
    <row r="172">
      <c r="A172" s="5" t="inlineStr">
        <is>
          <t>Mobile Phones</t>
        </is>
      </c>
      <c r="B172" s="9">
        <f>SUMIFS(Actuals!$D:$D,Actuals!$A:$A,$A172)</f>
        <v/>
      </c>
      <c r="C172" s="9">
        <f>SUMIFS(Actuals!$E:$E,Actuals!$A:$A,$A172)</f>
        <v/>
      </c>
      <c r="D172" s="9">
        <f>SUMIFS(Actuals!$F:$F,Actuals!$A:$A,$A172)</f>
        <v/>
      </c>
      <c r="E172" s="9">
        <f>SUMIFS(Actuals!$G:$G,Actuals!$A:$A,$A172)</f>
        <v/>
      </c>
      <c r="F172" s="9">
        <f>SUMIFS(Actuals!$H:$H,Actuals!$A:$A,$A172)</f>
        <v/>
      </c>
      <c r="G172" s="9">
        <f>SUMIFS(Actuals!$I:$I,Actuals!$A:$A,$A172)</f>
        <v/>
      </c>
      <c r="H172" s="9">
        <f>SUMIFS(Actuals!$J:$J,Actuals!$A:$A,$A172)</f>
        <v/>
      </c>
      <c r="I172" s="9">
        <f>SUMIFS(Actuals!$K:$K,Actuals!$A:$A,$A172)</f>
        <v/>
      </c>
      <c r="J172" s="9">
        <f>SUMIFS(Actuals!$L:$L,Actuals!$A:$A,$A172)</f>
        <v/>
      </c>
      <c r="K172" s="9">
        <f>SUMIFS(Actuals!$M:$M,Actuals!$A:$A,$A172)</f>
        <v/>
      </c>
      <c r="L172" s="9">
        <f>SUMIFS(Actuals!$N:$N,Actuals!$A:$A,$A172)</f>
        <v/>
      </c>
      <c r="M172" s="9">
        <f>SUMIFS(Actuals!$O:$O,Actuals!$A:$A,$A172)</f>
        <v/>
      </c>
      <c r="N172" s="10">
        <f>SUM(B172:M172)</f>
        <v/>
      </c>
    </row>
    <row r="173">
      <c r="A173" s="5" t="inlineStr">
        <is>
          <t>Office Cleaning</t>
        </is>
      </c>
      <c r="B173" s="9">
        <f>SUMIFS(Actuals!$D:$D,Actuals!$A:$A,$A173)</f>
        <v/>
      </c>
      <c r="C173" s="9">
        <f>SUMIFS(Actuals!$E:$E,Actuals!$A:$A,$A173)</f>
        <v/>
      </c>
      <c r="D173" s="9">
        <f>SUMIFS(Actuals!$F:$F,Actuals!$A:$A,$A173)</f>
        <v/>
      </c>
      <c r="E173" s="9">
        <f>SUMIFS(Actuals!$G:$G,Actuals!$A:$A,$A173)</f>
        <v/>
      </c>
      <c r="F173" s="9">
        <f>SUMIFS(Actuals!$H:$H,Actuals!$A:$A,$A173)</f>
        <v/>
      </c>
      <c r="G173" s="9">
        <f>SUMIFS(Actuals!$I:$I,Actuals!$A:$A,$A173)</f>
        <v/>
      </c>
      <c r="H173" s="9">
        <f>SUMIFS(Actuals!$J:$J,Actuals!$A:$A,$A173)</f>
        <v/>
      </c>
      <c r="I173" s="9">
        <f>SUMIFS(Actuals!$K:$K,Actuals!$A:$A,$A173)</f>
        <v/>
      </c>
      <c r="J173" s="9">
        <f>SUMIFS(Actuals!$L:$L,Actuals!$A:$A,$A173)</f>
        <v/>
      </c>
      <c r="K173" s="9">
        <f>SUMIFS(Actuals!$M:$M,Actuals!$A:$A,$A173)</f>
        <v/>
      </c>
      <c r="L173" s="9">
        <f>SUMIFS(Actuals!$N:$N,Actuals!$A:$A,$A173)</f>
        <v/>
      </c>
      <c r="M173" s="9">
        <f>SUMIFS(Actuals!$O:$O,Actuals!$A:$A,$A173)</f>
        <v/>
      </c>
      <c r="N173" s="10">
        <f>SUM(B173:M173)</f>
        <v/>
      </c>
    </row>
    <row r="174">
      <c r="A174" s="5" t="inlineStr">
        <is>
          <t>Office Phones</t>
        </is>
      </c>
      <c r="B174" s="9">
        <f>SUMIFS(Actuals!$D:$D,Actuals!$A:$A,$A174)</f>
        <v/>
      </c>
      <c r="C174" s="9">
        <f>SUMIFS(Actuals!$E:$E,Actuals!$A:$A,$A174)</f>
        <v/>
      </c>
      <c r="D174" s="9">
        <f>SUMIFS(Actuals!$F:$F,Actuals!$A:$A,$A174)</f>
        <v/>
      </c>
      <c r="E174" s="9">
        <f>SUMIFS(Actuals!$G:$G,Actuals!$A:$A,$A174)</f>
        <v/>
      </c>
      <c r="F174" s="9">
        <f>SUMIFS(Actuals!$H:$H,Actuals!$A:$A,$A174)</f>
        <v/>
      </c>
      <c r="G174" s="9">
        <f>SUMIFS(Actuals!$I:$I,Actuals!$A:$A,$A174)</f>
        <v/>
      </c>
      <c r="H174" s="9">
        <f>SUMIFS(Actuals!$J:$J,Actuals!$A:$A,$A174)</f>
        <v/>
      </c>
      <c r="I174" s="9">
        <f>SUMIFS(Actuals!$K:$K,Actuals!$A:$A,$A174)</f>
        <v/>
      </c>
      <c r="J174" s="9">
        <f>SUMIFS(Actuals!$L:$L,Actuals!$A:$A,$A174)</f>
        <v/>
      </c>
      <c r="K174" s="9">
        <f>SUMIFS(Actuals!$M:$M,Actuals!$A:$A,$A174)</f>
        <v/>
      </c>
      <c r="L174" s="9">
        <f>SUMIFS(Actuals!$N:$N,Actuals!$A:$A,$A174)</f>
        <v/>
      </c>
      <c r="M174" s="9">
        <f>SUMIFS(Actuals!$O:$O,Actuals!$A:$A,$A174)</f>
        <v/>
      </c>
      <c r="N174" s="10">
        <f>SUM(B174:M174)</f>
        <v/>
      </c>
    </row>
    <row r="175">
      <c r="A175" s="5" t="inlineStr">
        <is>
          <t>Office Rentals</t>
        </is>
      </c>
      <c r="B175" s="9">
        <f>SUMIFS(Actuals!$D:$D,Actuals!$A:$A,$A175)</f>
        <v/>
      </c>
      <c r="C175" s="9">
        <f>SUMIFS(Actuals!$E:$E,Actuals!$A:$A,$A175)</f>
        <v/>
      </c>
      <c r="D175" s="9">
        <f>SUMIFS(Actuals!$F:$F,Actuals!$A:$A,$A175)</f>
        <v/>
      </c>
      <c r="E175" s="9">
        <f>SUMIFS(Actuals!$G:$G,Actuals!$A:$A,$A175)</f>
        <v/>
      </c>
      <c r="F175" s="9">
        <f>SUMIFS(Actuals!$H:$H,Actuals!$A:$A,$A175)</f>
        <v/>
      </c>
      <c r="G175" s="9">
        <f>SUMIFS(Actuals!$I:$I,Actuals!$A:$A,$A175)</f>
        <v/>
      </c>
      <c r="H175" s="9">
        <f>SUMIFS(Actuals!$J:$J,Actuals!$A:$A,$A175)</f>
        <v/>
      </c>
      <c r="I175" s="9">
        <f>SUMIFS(Actuals!$K:$K,Actuals!$A:$A,$A175)</f>
        <v/>
      </c>
      <c r="J175" s="9">
        <f>SUMIFS(Actuals!$L:$L,Actuals!$A:$A,$A175)</f>
        <v/>
      </c>
      <c r="K175" s="9">
        <f>SUMIFS(Actuals!$M:$M,Actuals!$A:$A,$A175)</f>
        <v/>
      </c>
      <c r="L175" s="9">
        <f>SUMIFS(Actuals!$N:$N,Actuals!$A:$A,$A175)</f>
        <v/>
      </c>
      <c r="M175" s="9">
        <f>SUMIFS(Actuals!$O:$O,Actuals!$A:$A,$A175)</f>
        <v/>
      </c>
      <c r="N175" s="10">
        <f>SUM(B175:M175)</f>
        <v/>
      </c>
    </row>
    <row r="176">
      <c r="A176" s="5" t="inlineStr">
        <is>
          <t>Office Supplies</t>
        </is>
      </c>
      <c r="B176" s="9">
        <f>SUMIFS(Actuals!$D:$D,Actuals!$A:$A,$A176)</f>
        <v/>
      </c>
      <c r="C176" s="9">
        <f>SUMIFS(Actuals!$E:$E,Actuals!$A:$A,$A176)</f>
        <v/>
      </c>
      <c r="D176" s="9">
        <f>SUMIFS(Actuals!$F:$F,Actuals!$A:$A,$A176)</f>
        <v/>
      </c>
      <c r="E176" s="9">
        <f>SUMIFS(Actuals!$G:$G,Actuals!$A:$A,$A176)</f>
        <v/>
      </c>
      <c r="F176" s="9">
        <f>SUMIFS(Actuals!$H:$H,Actuals!$A:$A,$A176)</f>
        <v/>
      </c>
      <c r="G176" s="9">
        <f>SUMIFS(Actuals!$I:$I,Actuals!$A:$A,$A176)</f>
        <v/>
      </c>
      <c r="H176" s="9">
        <f>SUMIFS(Actuals!$J:$J,Actuals!$A:$A,$A176)</f>
        <v/>
      </c>
      <c r="I176" s="9">
        <f>SUMIFS(Actuals!$K:$K,Actuals!$A:$A,$A176)</f>
        <v/>
      </c>
      <c r="J176" s="9">
        <f>SUMIFS(Actuals!$L:$L,Actuals!$A:$A,$A176)</f>
        <v/>
      </c>
      <c r="K176" s="9">
        <f>SUMIFS(Actuals!$M:$M,Actuals!$A:$A,$A176)</f>
        <v/>
      </c>
      <c r="L176" s="9">
        <f>SUMIFS(Actuals!$N:$N,Actuals!$A:$A,$A176)</f>
        <v/>
      </c>
      <c r="M176" s="9">
        <f>SUMIFS(Actuals!$O:$O,Actuals!$A:$A,$A176)</f>
        <v/>
      </c>
      <c r="N176" s="10">
        <f>SUM(B176:M176)</f>
        <v/>
      </c>
    </row>
    <row r="177">
      <c r="A177" s="5" t="inlineStr">
        <is>
          <t>Office Supplies [61500]</t>
        </is>
      </c>
      <c r="B177" s="9">
        <f>SUMIFS(Actuals!$D:$D,Actuals!$A:$A,$A177)</f>
        <v/>
      </c>
      <c r="C177" s="9">
        <f>SUMIFS(Actuals!$E:$E,Actuals!$A:$A,$A177)</f>
        <v/>
      </c>
      <c r="D177" s="9">
        <f>SUMIFS(Actuals!$F:$F,Actuals!$A:$A,$A177)</f>
        <v/>
      </c>
      <c r="E177" s="9">
        <f>SUMIFS(Actuals!$G:$G,Actuals!$A:$A,$A177)</f>
        <v/>
      </c>
      <c r="F177" s="9">
        <f>SUMIFS(Actuals!$H:$H,Actuals!$A:$A,$A177)</f>
        <v/>
      </c>
      <c r="G177" s="9">
        <f>SUMIFS(Actuals!$I:$I,Actuals!$A:$A,$A177)</f>
        <v/>
      </c>
      <c r="H177" s="9">
        <f>SUMIFS(Actuals!$J:$J,Actuals!$A:$A,$A177)</f>
        <v/>
      </c>
      <c r="I177" s="9">
        <f>SUMIFS(Actuals!$K:$K,Actuals!$A:$A,$A177)</f>
        <v/>
      </c>
      <c r="J177" s="9">
        <f>SUMIFS(Actuals!$L:$L,Actuals!$A:$A,$A177)</f>
        <v/>
      </c>
      <c r="K177" s="9">
        <f>SUMIFS(Actuals!$M:$M,Actuals!$A:$A,$A177)</f>
        <v/>
      </c>
      <c r="L177" s="9">
        <f>SUMIFS(Actuals!$N:$N,Actuals!$A:$A,$A177)</f>
        <v/>
      </c>
      <c r="M177" s="9">
        <f>SUMIFS(Actuals!$O:$O,Actuals!$A:$A,$A177)</f>
        <v/>
      </c>
      <c r="N177" s="10">
        <f>SUM(B177:M177)</f>
        <v/>
      </c>
    </row>
    <row r="178">
      <c r="A178" s="5" t="inlineStr">
        <is>
          <t>Other Expenses [64900]</t>
        </is>
      </c>
      <c r="B178" s="9">
        <f>SUMIFS(Actuals!$D:$D,Actuals!$A:$A,$A178)</f>
        <v/>
      </c>
      <c r="C178" s="9">
        <f>SUMIFS(Actuals!$E:$E,Actuals!$A:$A,$A178)</f>
        <v/>
      </c>
      <c r="D178" s="9">
        <f>SUMIFS(Actuals!$F:$F,Actuals!$A:$A,$A178)</f>
        <v/>
      </c>
      <c r="E178" s="9">
        <f>SUMIFS(Actuals!$G:$G,Actuals!$A:$A,$A178)</f>
        <v/>
      </c>
      <c r="F178" s="9">
        <f>SUMIFS(Actuals!$H:$H,Actuals!$A:$A,$A178)</f>
        <v/>
      </c>
      <c r="G178" s="9">
        <f>SUMIFS(Actuals!$I:$I,Actuals!$A:$A,$A178)</f>
        <v/>
      </c>
      <c r="H178" s="9">
        <f>SUMIFS(Actuals!$J:$J,Actuals!$A:$A,$A178)</f>
        <v/>
      </c>
      <c r="I178" s="9">
        <f>SUMIFS(Actuals!$K:$K,Actuals!$A:$A,$A178)</f>
        <v/>
      </c>
      <c r="J178" s="9">
        <f>SUMIFS(Actuals!$L:$L,Actuals!$A:$A,$A178)</f>
        <v/>
      </c>
      <c r="K178" s="9">
        <f>SUMIFS(Actuals!$M:$M,Actuals!$A:$A,$A178)</f>
        <v/>
      </c>
      <c r="L178" s="9">
        <f>SUMIFS(Actuals!$N:$N,Actuals!$A:$A,$A178)</f>
        <v/>
      </c>
      <c r="M178" s="9">
        <f>SUMIFS(Actuals!$O:$O,Actuals!$A:$A,$A178)</f>
        <v/>
      </c>
      <c r="N178" s="10">
        <f>SUM(B178:M178)</f>
        <v/>
      </c>
    </row>
    <row r="179">
      <c r="A179" s="5" t="inlineStr">
        <is>
          <t>Other Insurance</t>
        </is>
      </c>
      <c r="B179" s="9">
        <f>SUMIFS(Actuals!$D:$D,Actuals!$A:$A,$A179)</f>
        <v/>
      </c>
      <c r="C179" s="9">
        <f>SUMIFS(Actuals!$E:$E,Actuals!$A:$A,$A179)</f>
        <v/>
      </c>
      <c r="D179" s="9">
        <f>SUMIFS(Actuals!$F:$F,Actuals!$A:$A,$A179)</f>
        <v/>
      </c>
      <c r="E179" s="9">
        <f>SUMIFS(Actuals!$G:$G,Actuals!$A:$A,$A179)</f>
        <v/>
      </c>
      <c r="F179" s="9">
        <f>SUMIFS(Actuals!$H:$H,Actuals!$A:$A,$A179)</f>
        <v/>
      </c>
      <c r="G179" s="9">
        <f>SUMIFS(Actuals!$I:$I,Actuals!$A:$A,$A179)</f>
        <v/>
      </c>
      <c r="H179" s="9">
        <f>SUMIFS(Actuals!$J:$J,Actuals!$A:$A,$A179)</f>
        <v/>
      </c>
      <c r="I179" s="9">
        <f>SUMIFS(Actuals!$K:$K,Actuals!$A:$A,$A179)</f>
        <v/>
      </c>
      <c r="J179" s="9">
        <f>SUMIFS(Actuals!$L:$L,Actuals!$A:$A,$A179)</f>
        <v/>
      </c>
      <c r="K179" s="9">
        <f>SUMIFS(Actuals!$M:$M,Actuals!$A:$A,$A179)</f>
        <v/>
      </c>
      <c r="L179" s="9">
        <f>SUMIFS(Actuals!$N:$N,Actuals!$A:$A,$A179)</f>
        <v/>
      </c>
      <c r="M179" s="9">
        <f>SUMIFS(Actuals!$O:$O,Actuals!$A:$A,$A179)</f>
        <v/>
      </c>
      <c r="N179" s="10">
        <f>SUM(B179:M179)</f>
        <v/>
      </c>
    </row>
    <row r="180">
      <c r="A180" s="5" t="inlineStr">
        <is>
          <t>Other Telco Expenses</t>
        </is>
      </c>
      <c r="B180" s="9">
        <f>SUMIFS(Actuals!$D:$D,Actuals!$A:$A,$A180)</f>
        <v/>
      </c>
      <c r="C180" s="9">
        <f>SUMIFS(Actuals!$E:$E,Actuals!$A:$A,$A180)</f>
        <v/>
      </c>
      <c r="D180" s="9">
        <f>SUMIFS(Actuals!$F:$F,Actuals!$A:$A,$A180)</f>
        <v/>
      </c>
      <c r="E180" s="9">
        <f>SUMIFS(Actuals!$G:$G,Actuals!$A:$A,$A180)</f>
        <v/>
      </c>
      <c r="F180" s="9">
        <f>SUMIFS(Actuals!$H:$H,Actuals!$A:$A,$A180)</f>
        <v/>
      </c>
      <c r="G180" s="9">
        <f>SUMIFS(Actuals!$I:$I,Actuals!$A:$A,$A180)</f>
        <v/>
      </c>
      <c r="H180" s="9">
        <f>SUMIFS(Actuals!$J:$J,Actuals!$A:$A,$A180)</f>
        <v/>
      </c>
      <c r="I180" s="9">
        <f>SUMIFS(Actuals!$K:$K,Actuals!$A:$A,$A180)</f>
        <v/>
      </c>
      <c r="J180" s="9">
        <f>SUMIFS(Actuals!$L:$L,Actuals!$A:$A,$A180)</f>
        <v/>
      </c>
      <c r="K180" s="9">
        <f>SUMIFS(Actuals!$M:$M,Actuals!$A:$A,$A180)</f>
        <v/>
      </c>
      <c r="L180" s="9">
        <f>SUMIFS(Actuals!$N:$N,Actuals!$A:$A,$A180)</f>
        <v/>
      </c>
      <c r="M180" s="9">
        <f>SUMIFS(Actuals!$O:$O,Actuals!$A:$A,$A180)</f>
        <v/>
      </c>
      <c r="N180" s="10">
        <f>SUM(B180:M180)</f>
        <v/>
      </c>
    </row>
    <row r="181">
      <c r="A181" s="5" t="inlineStr">
        <is>
          <t>Pager</t>
        </is>
      </c>
      <c r="B181" s="9">
        <f>SUMIFS(Actuals!$D:$D,Actuals!$A:$A,$A181)</f>
        <v/>
      </c>
      <c r="C181" s="9">
        <f>SUMIFS(Actuals!$E:$E,Actuals!$A:$A,$A181)</f>
        <v/>
      </c>
      <c r="D181" s="9">
        <f>SUMIFS(Actuals!$F:$F,Actuals!$A:$A,$A181)</f>
        <v/>
      </c>
      <c r="E181" s="9">
        <f>SUMIFS(Actuals!$G:$G,Actuals!$A:$A,$A181)</f>
        <v/>
      </c>
      <c r="F181" s="9">
        <f>SUMIFS(Actuals!$H:$H,Actuals!$A:$A,$A181)</f>
        <v/>
      </c>
      <c r="G181" s="9">
        <f>SUMIFS(Actuals!$I:$I,Actuals!$A:$A,$A181)</f>
        <v/>
      </c>
      <c r="H181" s="9">
        <f>SUMIFS(Actuals!$J:$J,Actuals!$A:$A,$A181)</f>
        <v/>
      </c>
      <c r="I181" s="9">
        <f>SUMIFS(Actuals!$K:$K,Actuals!$A:$A,$A181)</f>
        <v/>
      </c>
      <c r="J181" s="9">
        <f>SUMIFS(Actuals!$L:$L,Actuals!$A:$A,$A181)</f>
        <v/>
      </c>
      <c r="K181" s="9">
        <f>SUMIFS(Actuals!$M:$M,Actuals!$A:$A,$A181)</f>
        <v/>
      </c>
      <c r="L181" s="9">
        <f>SUMIFS(Actuals!$N:$N,Actuals!$A:$A,$A181)</f>
        <v/>
      </c>
      <c r="M181" s="9">
        <f>SUMIFS(Actuals!$O:$O,Actuals!$A:$A,$A181)</f>
        <v/>
      </c>
      <c r="N181" s="10">
        <f>SUM(B181:M181)</f>
        <v/>
      </c>
    </row>
    <row r="182">
      <c r="A182" s="5" t="inlineStr">
        <is>
          <t>Payroll Processing Fee</t>
        </is>
      </c>
      <c r="B182" s="9">
        <f>SUMIFS(Actuals!$D:$D,Actuals!$A:$A,$A182)</f>
        <v/>
      </c>
      <c r="C182" s="9">
        <f>SUMIFS(Actuals!$E:$E,Actuals!$A:$A,$A182)</f>
        <v/>
      </c>
      <c r="D182" s="9">
        <f>SUMIFS(Actuals!$F:$F,Actuals!$A:$A,$A182)</f>
        <v/>
      </c>
      <c r="E182" s="9">
        <f>SUMIFS(Actuals!$G:$G,Actuals!$A:$A,$A182)</f>
        <v/>
      </c>
      <c r="F182" s="9">
        <f>SUMIFS(Actuals!$H:$H,Actuals!$A:$A,$A182)</f>
        <v/>
      </c>
      <c r="G182" s="9">
        <f>SUMIFS(Actuals!$I:$I,Actuals!$A:$A,$A182)</f>
        <v/>
      </c>
      <c r="H182" s="9">
        <f>SUMIFS(Actuals!$J:$J,Actuals!$A:$A,$A182)</f>
        <v/>
      </c>
      <c r="I182" s="9">
        <f>SUMIFS(Actuals!$K:$K,Actuals!$A:$A,$A182)</f>
        <v/>
      </c>
      <c r="J182" s="9">
        <f>SUMIFS(Actuals!$L:$L,Actuals!$A:$A,$A182)</f>
        <v/>
      </c>
      <c r="K182" s="9">
        <f>SUMIFS(Actuals!$M:$M,Actuals!$A:$A,$A182)</f>
        <v/>
      </c>
      <c r="L182" s="9">
        <f>SUMIFS(Actuals!$N:$N,Actuals!$A:$A,$A182)</f>
        <v/>
      </c>
      <c r="M182" s="9">
        <f>SUMIFS(Actuals!$O:$O,Actuals!$A:$A,$A182)</f>
        <v/>
      </c>
      <c r="N182" s="10">
        <f>SUM(B182:M182)</f>
        <v/>
      </c>
    </row>
    <row r="183">
      <c r="A183" s="5" t="inlineStr">
        <is>
          <t>Payroll Tax</t>
        </is>
      </c>
      <c r="B183" s="9">
        <f>SUMIFS(Actuals!$D:$D,Actuals!$A:$A,$A183)</f>
        <v/>
      </c>
      <c r="C183" s="9">
        <f>SUMIFS(Actuals!$E:$E,Actuals!$A:$A,$A183)</f>
        <v/>
      </c>
      <c r="D183" s="9">
        <f>SUMIFS(Actuals!$F:$F,Actuals!$A:$A,$A183)</f>
        <v/>
      </c>
      <c r="E183" s="9">
        <f>SUMIFS(Actuals!$G:$G,Actuals!$A:$A,$A183)</f>
        <v/>
      </c>
      <c r="F183" s="9">
        <f>SUMIFS(Actuals!$H:$H,Actuals!$A:$A,$A183)</f>
        <v/>
      </c>
      <c r="G183" s="9">
        <f>SUMIFS(Actuals!$I:$I,Actuals!$A:$A,$A183)</f>
        <v/>
      </c>
      <c r="H183" s="9">
        <f>SUMIFS(Actuals!$J:$J,Actuals!$A:$A,$A183)</f>
        <v/>
      </c>
      <c r="I183" s="9">
        <f>SUMIFS(Actuals!$K:$K,Actuals!$A:$A,$A183)</f>
        <v/>
      </c>
      <c r="J183" s="9">
        <f>SUMIFS(Actuals!$L:$L,Actuals!$A:$A,$A183)</f>
        <v/>
      </c>
      <c r="K183" s="9">
        <f>SUMIFS(Actuals!$M:$M,Actuals!$A:$A,$A183)</f>
        <v/>
      </c>
      <c r="L183" s="9">
        <f>SUMIFS(Actuals!$N:$N,Actuals!$A:$A,$A183)</f>
        <v/>
      </c>
      <c r="M183" s="9">
        <f>SUMIFS(Actuals!$O:$O,Actuals!$A:$A,$A183)</f>
        <v/>
      </c>
      <c r="N183" s="10">
        <f>SUM(B183:M183)</f>
        <v/>
      </c>
    </row>
    <row r="184">
      <c r="A184" s="5" t="inlineStr">
        <is>
          <t>Postage</t>
        </is>
      </c>
      <c r="B184" s="9">
        <f>SUMIFS(Actuals!$D:$D,Actuals!$A:$A,$A184)</f>
        <v/>
      </c>
      <c r="C184" s="9">
        <f>SUMIFS(Actuals!$E:$E,Actuals!$A:$A,$A184)</f>
        <v/>
      </c>
      <c r="D184" s="9">
        <f>SUMIFS(Actuals!$F:$F,Actuals!$A:$A,$A184)</f>
        <v/>
      </c>
      <c r="E184" s="9">
        <f>SUMIFS(Actuals!$G:$G,Actuals!$A:$A,$A184)</f>
        <v/>
      </c>
      <c r="F184" s="9">
        <f>SUMIFS(Actuals!$H:$H,Actuals!$A:$A,$A184)</f>
        <v/>
      </c>
      <c r="G184" s="9">
        <f>SUMIFS(Actuals!$I:$I,Actuals!$A:$A,$A184)</f>
        <v/>
      </c>
      <c r="H184" s="9">
        <f>SUMIFS(Actuals!$J:$J,Actuals!$A:$A,$A184)</f>
        <v/>
      </c>
      <c r="I184" s="9">
        <f>SUMIFS(Actuals!$K:$K,Actuals!$A:$A,$A184)</f>
        <v/>
      </c>
      <c r="J184" s="9">
        <f>SUMIFS(Actuals!$L:$L,Actuals!$A:$A,$A184)</f>
        <v/>
      </c>
      <c r="K184" s="9">
        <f>SUMIFS(Actuals!$M:$M,Actuals!$A:$A,$A184)</f>
        <v/>
      </c>
      <c r="L184" s="9">
        <f>SUMIFS(Actuals!$N:$N,Actuals!$A:$A,$A184)</f>
        <v/>
      </c>
      <c r="M184" s="9">
        <f>SUMIFS(Actuals!$O:$O,Actuals!$A:$A,$A184)</f>
        <v/>
      </c>
      <c r="N184" s="10">
        <f>SUM(B184:M184)</f>
        <v/>
      </c>
    </row>
    <row r="185">
      <c r="A185" s="5" t="inlineStr">
        <is>
          <t>Printing</t>
        </is>
      </c>
      <c r="B185" s="9">
        <f>SUMIFS(Actuals!$D:$D,Actuals!$A:$A,$A185)</f>
        <v/>
      </c>
      <c r="C185" s="9">
        <f>SUMIFS(Actuals!$E:$E,Actuals!$A:$A,$A185)</f>
        <v/>
      </c>
      <c r="D185" s="9">
        <f>SUMIFS(Actuals!$F:$F,Actuals!$A:$A,$A185)</f>
        <v/>
      </c>
      <c r="E185" s="9">
        <f>SUMIFS(Actuals!$G:$G,Actuals!$A:$A,$A185)</f>
        <v/>
      </c>
      <c r="F185" s="9">
        <f>SUMIFS(Actuals!$H:$H,Actuals!$A:$A,$A185)</f>
        <v/>
      </c>
      <c r="G185" s="9">
        <f>SUMIFS(Actuals!$I:$I,Actuals!$A:$A,$A185)</f>
        <v/>
      </c>
      <c r="H185" s="9">
        <f>SUMIFS(Actuals!$J:$J,Actuals!$A:$A,$A185)</f>
        <v/>
      </c>
      <c r="I185" s="9">
        <f>SUMIFS(Actuals!$K:$K,Actuals!$A:$A,$A185)</f>
        <v/>
      </c>
      <c r="J185" s="9">
        <f>SUMIFS(Actuals!$L:$L,Actuals!$A:$A,$A185)</f>
        <v/>
      </c>
      <c r="K185" s="9">
        <f>SUMIFS(Actuals!$M:$M,Actuals!$A:$A,$A185)</f>
        <v/>
      </c>
      <c r="L185" s="9">
        <f>SUMIFS(Actuals!$N:$N,Actuals!$A:$A,$A185)</f>
        <v/>
      </c>
      <c r="M185" s="9">
        <f>SUMIFS(Actuals!$O:$O,Actuals!$A:$A,$A185)</f>
        <v/>
      </c>
      <c r="N185" s="10">
        <f>SUM(B185:M185)</f>
        <v/>
      </c>
    </row>
    <row r="186">
      <c r="A186" s="5" t="inlineStr">
        <is>
          <t>Professional Indemnity</t>
        </is>
      </c>
      <c r="B186" s="9">
        <f>SUMIFS(Actuals!$D:$D,Actuals!$A:$A,$A186)</f>
        <v/>
      </c>
      <c r="C186" s="9">
        <f>SUMIFS(Actuals!$E:$E,Actuals!$A:$A,$A186)</f>
        <v/>
      </c>
      <c r="D186" s="9">
        <f>SUMIFS(Actuals!$F:$F,Actuals!$A:$A,$A186)</f>
        <v/>
      </c>
      <c r="E186" s="9">
        <f>SUMIFS(Actuals!$G:$G,Actuals!$A:$A,$A186)</f>
        <v/>
      </c>
      <c r="F186" s="9">
        <f>SUMIFS(Actuals!$H:$H,Actuals!$A:$A,$A186)</f>
        <v/>
      </c>
      <c r="G186" s="9">
        <f>SUMIFS(Actuals!$I:$I,Actuals!$A:$A,$A186)</f>
        <v/>
      </c>
      <c r="H186" s="9">
        <f>SUMIFS(Actuals!$J:$J,Actuals!$A:$A,$A186)</f>
        <v/>
      </c>
      <c r="I186" s="9">
        <f>SUMIFS(Actuals!$K:$K,Actuals!$A:$A,$A186)</f>
        <v/>
      </c>
      <c r="J186" s="9">
        <f>SUMIFS(Actuals!$L:$L,Actuals!$A:$A,$A186)</f>
        <v/>
      </c>
      <c r="K186" s="9">
        <f>SUMIFS(Actuals!$M:$M,Actuals!$A:$A,$A186)</f>
        <v/>
      </c>
      <c r="L186" s="9">
        <f>SUMIFS(Actuals!$N:$N,Actuals!$A:$A,$A186)</f>
        <v/>
      </c>
      <c r="M186" s="9">
        <f>SUMIFS(Actuals!$O:$O,Actuals!$A:$A,$A186)</f>
        <v/>
      </c>
      <c r="N186" s="10">
        <f>SUM(B186:M186)</f>
        <v/>
      </c>
    </row>
    <row r="187">
      <c r="A187" s="5" t="inlineStr">
        <is>
          <t>Realised Currency Gains</t>
        </is>
      </c>
      <c r="B187" s="9">
        <f>SUMIFS(Actuals!$D:$D,Actuals!$A:$A,$A187)</f>
        <v/>
      </c>
      <c r="C187" s="9">
        <f>SUMIFS(Actuals!$E:$E,Actuals!$A:$A,$A187)</f>
        <v/>
      </c>
      <c r="D187" s="9">
        <f>SUMIFS(Actuals!$F:$F,Actuals!$A:$A,$A187)</f>
        <v/>
      </c>
      <c r="E187" s="9">
        <f>SUMIFS(Actuals!$G:$G,Actuals!$A:$A,$A187)</f>
        <v/>
      </c>
      <c r="F187" s="9">
        <f>SUMIFS(Actuals!$H:$H,Actuals!$A:$A,$A187)</f>
        <v/>
      </c>
      <c r="G187" s="9">
        <f>SUMIFS(Actuals!$I:$I,Actuals!$A:$A,$A187)</f>
        <v/>
      </c>
      <c r="H187" s="9">
        <f>SUMIFS(Actuals!$J:$J,Actuals!$A:$A,$A187)</f>
        <v/>
      </c>
      <c r="I187" s="9">
        <f>SUMIFS(Actuals!$K:$K,Actuals!$A:$A,$A187)</f>
        <v/>
      </c>
      <c r="J187" s="9">
        <f>SUMIFS(Actuals!$L:$L,Actuals!$A:$A,$A187)</f>
        <v/>
      </c>
      <c r="K187" s="9">
        <f>SUMIFS(Actuals!$M:$M,Actuals!$A:$A,$A187)</f>
        <v/>
      </c>
      <c r="L187" s="9">
        <f>SUMIFS(Actuals!$N:$N,Actuals!$A:$A,$A187)</f>
        <v/>
      </c>
      <c r="M187" s="9">
        <f>SUMIFS(Actuals!$O:$O,Actuals!$A:$A,$A187)</f>
        <v/>
      </c>
      <c r="N187" s="10">
        <f>SUM(B187:M187)</f>
        <v/>
      </c>
    </row>
    <row r="188">
      <c r="A188" s="5" t="inlineStr">
        <is>
          <t>Recruitment</t>
        </is>
      </c>
      <c r="B188" s="9">
        <f>SUMIFS(Actuals!$D:$D,Actuals!$A:$A,$A188)</f>
        <v/>
      </c>
      <c r="C188" s="9">
        <f>SUMIFS(Actuals!$E:$E,Actuals!$A:$A,$A188)</f>
        <v/>
      </c>
      <c r="D188" s="9">
        <f>SUMIFS(Actuals!$F:$F,Actuals!$A:$A,$A188)</f>
        <v/>
      </c>
      <c r="E188" s="9">
        <f>SUMIFS(Actuals!$G:$G,Actuals!$A:$A,$A188)</f>
        <v/>
      </c>
      <c r="F188" s="9">
        <f>SUMIFS(Actuals!$H:$H,Actuals!$A:$A,$A188)</f>
        <v/>
      </c>
      <c r="G188" s="9">
        <f>SUMIFS(Actuals!$I:$I,Actuals!$A:$A,$A188)</f>
        <v/>
      </c>
      <c r="H188" s="9">
        <f>SUMIFS(Actuals!$J:$J,Actuals!$A:$A,$A188)</f>
        <v/>
      </c>
      <c r="I188" s="9">
        <f>SUMIFS(Actuals!$K:$K,Actuals!$A:$A,$A188)</f>
        <v/>
      </c>
      <c r="J188" s="9">
        <f>SUMIFS(Actuals!$L:$L,Actuals!$A:$A,$A188)</f>
        <v/>
      </c>
      <c r="K188" s="9">
        <f>SUMIFS(Actuals!$M:$M,Actuals!$A:$A,$A188)</f>
        <v/>
      </c>
      <c r="L188" s="9">
        <f>SUMIFS(Actuals!$N:$N,Actuals!$A:$A,$A188)</f>
        <v/>
      </c>
      <c r="M188" s="9">
        <f>SUMIFS(Actuals!$O:$O,Actuals!$A:$A,$A188)</f>
        <v/>
      </c>
      <c r="N188" s="10">
        <f>SUM(B188:M188)</f>
        <v/>
      </c>
    </row>
    <row r="189">
      <c r="A189" s="5" t="inlineStr">
        <is>
          <t>Rent</t>
        </is>
      </c>
      <c r="B189" s="9">
        <f>SUMIFS(Actuals!$D:$D,Actuals!$A:$A,$A189)</f>
        <v/>
      </c>
      <c r="C189" s="9">
        <f>SUMIFS(Actuals!$E:$E,Actuals!$A:$A,$A189)</f>
        <v/>
      </c>
      <c r="D189" s="9">
        <f>SUMIFS(Actuals!$F:$F,Actuals!$A:$A,$A189)</f>
        <v/>
      </c>
      <c r="E189" s="9">
        <f>SUMIFS(Actuals!$G:$G,Actuals!$A:$A,$A189)</f>
        <v/>
      </c>
      <c r="F189" s="9">
        <f>SUMIFS(Actuals!$H:$H,Actuals!$A:$A,$A189)</f>
        <v/>
      </c>
      <c r="G189" s="9">
        <f>SUMIFS(Actuals!$I:$I,Actuals!$A:$A,$A189)</f>
        <v/>
      </c>
      <c r="H189" s="9">
        <f>SUMIFS(Actuals!$J:$J,Actuals!$A:$A,$A189)</f>
        <v/>
      </c>
      <c r="I189" s="9">
        <f>SUMIFS(Actuals!$K:$K,Actuals!$A:$A,$A189)</f>
        <v/>
      </c>
      <c r="J189" s="9">
        <f>SUMIFS(Actuals!$L:$L,Actuals!$A:$A,$A189)</f>
        <v/>
      </c>
      <c r="K189" s="9">
        <f>SUMIFS(Actuals!$M:$M,Actuals!$A:$A,$A189)</f>
        <v/>
      </c>
      <c r="L189" s="9">
        <f>SUMIFS(Actuals!$N:$N,Actuals!$A:$A,$A189)</f>
        <v/>
      </c>
      <c r="M189" s="9">
        <f>SUMIFS(Actuals!$O:$O,Actuals!$A:$A,$A189)</f>
        <v/>
      </c>
      <c r="N189" s="10">
        <f>SUM(B189:M189)</f>
        <v/>
      </c>
    </row>
    <row r="190">
      <c r="A190" s="5" t="inlineStr">
        <is>
          <t>Rental Outgoings</t>
        </is>
      </c>
      <c r="B190" s="9">
        <f>SUMIFS(Actuals!$D:$D,Actuals!$A:$A,$A190)</f>
        <v/>
      </c>
      <c r="C190" s="9">
        <f>SUMIFS(Actuals!$E:$E,Actuals!$A:$A,$A190)</f>
        <v/>
      </c>
      <c r="D190" s="9">
        <f>SUMIFS(Actuals!$F:$F,Actuals!$A:$A,$A190)</f>
        <v/>
      </c>
      <c r="E190" s="9">
        <f>SUMIFS(Actuals!$G:$G,Actuals!$A:$A,$A190)</f>
        <v/>
      </c>
      <c r="F190" s="9">
        <f>SUMIFS(Actuals!$H:$H,Actuals!$A:$A,$A190)</f>
        <v/>
      </c>
      <c r="G190" s="9">
        <f>SUMIFS(Actuals!$I:$I,Actuals!$A:$A,$A190)</f>
        <v/>
      </c>
      <c r="H190" s="9">
        <f>SUMIFS(Actuals!$J:$J,Actuals!$A:$A,$A190)</f>
        <v/>
      </c>
      <c r="I190" s="9">
        <f>SUMIFS(Actuals!$K:$K,Actuals!$A:$A,$A190)</f>
        <v/>
      </c>
      <c r="J190" s="9">
        <f>SUMIFS(Actuals!$L:$L,Actuals!$A:$A,$A190)</f>
        <v/>
      </c>
      <c r="K190" s="9">
        <f>SUMIFS(Actuals!$M:$M,Actuals!$A:$A,$A190)</f>
        <v/>
      </c>
      <c r="L190" s="9">
        <f>SUMIFS(Actuals!$N:$N,Actuals!$A:$A,$A190)</f>
        <v/>
      </c>
      <c r="M190" s="9">
        <f>SUMIFS(Actuals!$O:$O,Actuals!$A:$A,$A190)</f>
        <v/>
      </c>
      <c r="N190" s="10">
        <f>SUM(B190:M190)</f>
        <v/>
      </c>
    </row>
    <row r="191">
      <c r="A191" s="5" t="inlineStr">
        <is>
          <t>Repairs &amp; Maintenance</t>
        </is>
      </c>
      <c r="B191" s="9">
        <f>SUMIFS(Actuals!$D:$D,Actuals!$A:$A,$A191)</f>
        <v/>
      </c>
      <c r="C191" s="9">
        <f>SUMIFS(Actuals!$E:$E,Actuals!$A:$A,$A191)</f>
        <v/>
      </c>
      <c r="D191" s="9">
        <f>SUMIFS(Actuals!$F:$F,Actuals!$A:$A,$A191)</f>
        <v/>
      </c>
      <c r="E191" s="9">
        <f>SUMIFS(Actuals!$G:$G,Actuals!$A:$A,$A191)</f>
        <v/>
      </c>
      <c r="F191" s="9">
        <f>SUMIFS(Actuals!$H:$H,Actuals!$A:$A,$A191)</f>
        <v/>
      </c>
      <c r="G191" s="9">
        <f>SUMIFS(Actuals!$I:$I,Actuals!$A:$A,$A191)</f>
        <v/>
      </c>
      <c r="H191" s="9">
        <f>SUMIFS(Actuals!$J:$J,Actuals!$A:$A,$A191)</f>
        <v/>
      </c>
      <c r="I191" s="9">
        <f>SUMIFS(Actuals!$K:$K,Actuals!$A:$A,$A191)</f>
        <v/>
      </c>
      <c r="J191" s="9">
        <f>SUMIFS(Actuals!$L:$L,Actuals!$A:$A,$A191)</f>
        <v/>
      </c>
      <c r="K191" s="9">
        <f>SUMIFS(Actuals!$M:$M,Actuals!$A:$A,$A191)</f>
        <v/>
      </c>
      <c r="L191" s="9">
        <f>SUMIFS(Actuals!$N:$N,Actuals!$A:$A,$A191)</f>
        <v/>
      </c>
      <c r="M191" s="9">
        <f>SUMIFS(Actuals!$O:$O,Actuals!$A:$A,$A191)</f>
        <v/>
      </c>
      <c r="N191" s="10">
        <f>SUM(B191:M191)</f>
        <v/>
      </c>
    </row>
    <row r="192">
      <c r="A192" s="5" t="inlineStr">
        <is>
          <t>Replacements</t>
        </is>
      </c>
      <c r="B192" s="9">
        <f>SUMIFS(Actuals!$D:$D,Actuals!$A:$A,$A192)</f>
        <v/>
      </c>
      <c r="C192" s="9">
        <f>SUMIFS(Actuals!$E:$E,Actuals!$A:$A,$A192)</f>
        <v/>
      </c>
      <c r="D192" s="9">
        <f>SUMIFS(Actuals!$F:$F,Actuals!$A:$A,$A192)</f>
        <v/>
      </c>
      <c r="E192" s="9">
        <f>SUMIFS(Actuals!$G:$G,Actuals!$A:$A,$A192)</f>
        <v/>
      </c>
      <c r="F192" s="9">
        <f>SUMIFS(Actuals!$H:$H,Actuals!$A:$A,$A192)</f>
        <v/>
      </c>
      <c r="G192" s="9">
        <f>SUMIFS(Actuals!$I:$I,Actuals!$A:$A,$A192)</f>
        <v/>
      </c>
      <c r="H192" s="9">
        <f>SUMIFS(Actuals!$J:$J,Actuals!$A:$A,$A192)</f>
        <v/>
      </c>
      <c r="I192" s="9">
        <f>SUMIFS(Actuals!$K:$K,Actuals!$A:$A,$A192)</f>
        <v/>
      </c>
      <c r="J192" s="9">
        <f>SUMIFS(Actuals!$L:$L,Actuals!$A:$A,$A192)</f>
        <v/>
      </c>
      <c r="K192" s="9">
        <f>SUMIFS(Actuals!$M:$M,Actuals!$A:$A,$A192)</f>
        <v/>
      </c>
      <c r="L192" s="9">
        <f>SUMIFS(Actuals!$N:$N,Actuals!$A:$A,$A192)</f>
        <v/>
      </c>
      <c r="M192" s="9">
        <f>SUMIFS(Actuals!$O:$O,Actuals!$A:$A,$A192)</f>
        <v/>
      </c>
      <c r="N192" s="10">
        <f>SUM(B192:M192)</f>
        <v/>
      </c>
    </row>
    <row r="193">
      <c r="A193" s="5" t="inlineStr">
        <is>
          <t>SGC Penalties</t>
        </is>
      </c>
      <c r="B193" s="9">
        <f>SUMIFS(Actuals!$D:$D,Actuals!$A:$A,$A193)</f>
        <v/>
      </c>
      <c r="C193" s="9">
        <f>SUMIFS(Actuals!$E:$E,Actuals!$A:$A,$A193)</f>
        <v/>
      </c>
      <c r="D193" s="9">
        <f>SUMIFS(Actuals!$F:$F,Actuals!$A:$A,$A193)</f>
        <v/>
      </c>
      <c r="E193" s="9">
        <f>SUMIFS(Actuals!$G:$G,Actuals!$A:$A,$A193)</f>
        <v/>
      </c>
      <c r="F193" s="9">
        <f>SUMIFS(Actuals!$H:$H,Actuals!$A:$A,$A193)</f>
        <v/>
      </c>
      <c r="G193" s="9">
        <f>SUMIFS(Actuals!$I:$I,Actuals!$A:$A,$A193)</f>
        <v/>
      </c>
      <c r="H193" s="9">
        <f>SUMIFS(Actuals!$J:$J,Actuals!$A:$A,$A193)</f>
        <v/>
      </c>
      <c r="I193" s="9">
        <f>SUMIFS(Actuals!$K:$K,Actuals!$A:$A,$A193)</f>
        <v/>
      </c>
      <c r="J193" s="9">
        <f>SUMIFS(Actuals!$L:$L,Actuals!$A:$A,$A193)</f>
        <v/>
      </c>
      <c r="K193" s="9">
        <f>SUMIFS(Actuals!$M:$M,Actuals!$A:$A,$A193)</f>
        <v/>
      </c>
      <c r="L193" s="9">
        <f>SUMIFS(Actuals!$N:$N,Actuals!$A:$A,$A193)</f>
        <v/>
      </c>
      <c r="M193" s="9">
        <f>SUMIFS(Actuals!$O:$O,Actuals!$A:$A,$A193)</f>
        <v/>
      </c>
      <c r="N193" s="10">
        <f>SUM(B193:M193)</f>
        <v/>
      </c>
    </row>
    <row r="194">
      <c r="A194" s="5" t="inlineStr">
        <is>
          <t>Staff Amenities</t>
        </is>
      </c>
      <c r="B194" s="9">
        <f>SUMIFS(Actuals!$D:$D,Actuals!$A:$A,$A194)</f>
        <v/>
      </c>
      <c r="C194" s="9">
        <f>SUMIFS(Actuals!$E:$E,Actuals!$A:$A,$A194)</f>
        <v/>
      </c>
      <c r="D194" s="9">
        <f>SUMIFS(Actuals!$F:$F,Actuals!$A:$A,$A194)</f>
        <v/>
      </c>
      <c r="E194" s="9">
        <f>SUMIFS(Actuals!$G:$G,Actuals!$A:$A,$A194)</f>
        <v/>
      </c>
      <c r="F194" s="9">
        <f>SUMIFS(Actuals!$H:$H,Actuals!$A:$A,$A194)</f>
        <v/>
      </c>
      <c r="G194" s="9">
        <f>SUMIFS(Actuals!$I:$I,Actuals!$A:$A,$A194)</f>
        <v/>
      </c>
      <c r="H194" s="9">
        <f>SUMIFS(Actuals!$J:$J,Actuals!$A:$A,$A194)</f>
        <v/>
      </c>
      <c r="I194" s="9">
        <f>SUMIFS(Actuals!$K:$K,Actuals!$A:$A,$A194)</f>
        <v/>
      </c>
      <c r="J194" s="9">
        <f>SUMIFS(Actuals!$L:$L,Actuals!$A:$A,$A194)</f>
        <v/>
      </c>
      <c r="K194" s="9">
        <f>SUMIFS(Actuals!$M:$M,Actuals!$A:$A,$A194)</f>
        <v/>
      </c>
      <c r="L194" s="9">
        <f>SUMIFS(Actuals!$N:$N,Actuals!$A:$A,$A194)</f>
        <v/>
      </c>
      <c r="M194" s="9">
        <f>SUMIFS(Actuals!$O:$O,Actuals!$A:$A,$A194)</f>
        <v/>
      </c>
      <c r="N194" s="10">
        <f>SUM(B194:M194)</f>
        <v/>
      </c>
    </row>
    <row r="195">
      <c r="A195" s="5" t="inlineStr">
        <is>
          <t>Staff Entertainment</t>
        </is>
      </c>
      <c r="B195" s="9">
        <f>SUMIFS(Actuals!$D:$D,Actuals!$A:$A,$A195)</f>
        <v/>
      </c>
      <c r="C195" s="9">
        <f>SUMIFS(Actuals!$E:$E,Actuals!$A:$A,$A195)</f>
        <v/>
      </c>
      <c r="D195" s="9">
        <f>SUMIFS(Actuals!$F:$F,Actuals!$A:$A,$A195)</f>
        <v/>
      </c>
      <c r="E195" s="9">
        <f>SUMIFS(Actuals!$G:$G,Actuals!$A:$A,$A195)</f>
        <v/>
      </c>
      <c r="F195" s="9">
        <f>SUMIFS(Actuals!$H:$H,Actuals!$A:$A,$A195)</f>
        <v/>
      </c>
      <c r="G195" s="9">
        <f>SUMIFS(Actuals!$I:$I,Actuals!$A:$A,$A195)</f>
        <v/>
      </c>
      <c r="H195" s="9">
        <f>SUMIFS(Actuals!$J:$J,Actuals!$A:$A,$A195)</f>
        <v/>
      </c>
      <c r="I195" s="9">
        <f>SUMIFS(Actuals!$K:$K,Actuals!$A:$A,$A195)</f>
        <v/>
      </c>
      <c r="J195" s="9">
        <f>SUMIFS(Actuals!$L:$L,Actuals!$A:$A,$A195)</f>
        <v/>
      </c>
      <c r="K195" s="9">
        <f>SUMIFS(Actuals!$M:$M,Actuals!$A:$A,$A195)</f>
        <v/>
      </c>
      <c r="L195" s="9">
        <f>SUMIFS(Actuals!$N:$N,Actuals!$A:$A,$A195)</f>
        <v/>
      </c>
      <c r="M195" s="9">
        <f>SUMIFS(Actuals!$O:$O,Actuals!$A:$A,$A195)</f>
        <v/>
      </c>
      <c r="N195" s="10">
        <f>SUM(B195:M195)</f>
        <v/>
      </c>
    </row>
    <row r="196">
      <c r="A196" s="5" t="inlineStr">
        <is>
          <t>Stamp Duty (Indirect)</t>
        </is>
      </c>
      <c r="B196" s="9">
        <f>SUMIFS(Actuals!$D:$D,Actuals!$A:$A,$A196)</f>
        <v/>
      </c>
      <c r="C196" s="9">
        <f>SUMIFS(Actuals!$E:$E,Actuals!$A:$A,$A196)</f>
        <v/>
      </c>
      <c r="D196" s="9">
        <f>SUMIFS(Actuals!$F:$F,Actuals!$A:$A,$A196)</f>
        <v/>
      </c>
      <c r="E196" s="9">
        <f>SUMIFS(Actuals!$G:$G,Actuals!$A:$A,$A196)</f>
        <v/>
      </c>
      <c r="F196" s="9">
        <f>SUMIFS(Actuals!$H:$H,Actuals!$A:$A,$A196)</f>
        <v/>
      </c>
      <c r="G196" s="9">
        <f>SUMIFS(Actuals!$I:$I,Actuals!$A:$A,$A196)</f>
        <v/>
      </c>
      <c r="H196" s="9">
        <f>SUMIFS(Actuals!$J:$J,Actuals!$A:$A,$A196)</f>
        <v/>
      </c>
      <c r="I196" s="9">
        <f>SUMIFS(Actuals!$K:$K,Actuals!$A:$A,$A196)</f>
        <v/>
      </c>
      <c r="J196" s="9">
        <f>SUMIFS(Actuals!$L:$L,Actuals!$A:$A,$A196)</f>
        <v/>
      </c>
      <c r="K196" s="9">
        <f>SUMIFS(Actuals!$M:$M,Actuals!$A:$A,$A196)</f>
        <v/>
      </c>
      <c r="L196" s="9">
        <f>SUMIFS(Actuals!$N:$N,Actuals!$A:$A,$A196)</f>
        <v/>
      </c>
      <c r="M196" s="9">
        <f>SUMIFS(Actuals!$O:$O,Actuals!$A:$A,$A196)</f>
        <v/>
      </c>
      <c r="N196" s="10">
        <f>SUM(B196:M196)</f>
        <v/>
      </c>
    </row>
    <row r="197">
      <c r="A197" s="5" t="inlineStr">
        <is>
          <t>Storage Fees</t>
        </is>
      </c>
      <c r="B197" s="9">
        <f>SUMIFS(Actuals!$D:$D,Actuals!$A:$A,$A197)</f>
        <v/>
      </c>
      <c r="C197" s="9">
        <f>SUMIFS(Actuals!$E:$E,Actuals!$A:$A,$A197)</f>
        <v/>
      </c>
      <c r="D197" s="9">
        <f>SUMIFS(Actuals!$F:$F,Actuals!$A:$A,$A197)</f>
        <v/>
      </c>
      <c r="E197" s="9">
        <f>SUMIFS(Actuals!$G:$G,Actuals!$A:$A,$A197)</f>
        <v/>
      </c>
      <c r="F197" s="9">
        <f>SUMIFS(Actuals!$H:$H,Actuals!$A:$A,$A197)</f>
        <v/>
      </c>
      <c r="G197" s="9">
        <f>SUMIFS(Actuals!$I:$I,Actuals!$A:$A,$A197)</f>
        <v/>
      </c>
      <c r="H197" s="9">
        <f>SUMIFS(Actuals!$J:$J,Actuals!$A:$A,$A197)</f>
        <v/>
      </c>
      <c r="I197" s="9">
        <f>SUMIFS(Actuals!$K:$K,Actuals!$A:$A,$A197)</f>
        <v/>
      </c>
      <c r="J197" s="9">
        <f>SUMIFS(Actuals!$L:$L,Actuals!$A:$A,$A197)</f>
        <v/>
      </c>
      <c r="K197" s="9">
        <f>SUMIFS(Actuals!$M:$M,Actuals!$A:$A,$A197)</f>
        <v/>
      </c>
      <c r="L197" s="9">
        <f>SUMIFS(Actuals!$N:$N,Actuals!$A:$A,$A197)</f>
        <v/>
      </c>
      <c r="M197" s="9">
        <f>SUMIFS(Actuals!$O:$O,Actuals!$A:$A,$A197)</f>
        <v/>
      </c>
      <c r="N197" s="10">
        <f>SUM(B197:M197)</f>
        <v/>
      </c>
    </row>
    <row r="198">
      <c r="A198" s="5" t="inlineStr">
        <is>
          <t>Stripe Fees</t>
        </is>
      </c>
      <c r="B198" s="9">
        <f>SUMIFS(Actuals!$D:$D,Actuals!$A:$A,$A198)</f>
        <v/>
      </c>
      <c r="C198" s="9">
        <f>SUMIFS(Actuals!$E:$E,Actuals!$A:$A,$A198)</f>
        <v/>
      </c>
      <c r="D198" s="9">
        <f>SUMIFS(Actuals!$F:$F,Actuals!$A:$A,$A198)</f>
        <v/>
      </c>
      <c r="E198" s="9">
        <f>SUMIFS(Actuals!$G:$G,Actuals!$A:$A,$A198)</f>
        <v/>
      </c>
      <c r="F198" s="9">
        <f>SUMIFS(Actuals!$H:$H,Actuals!$A:$A,$A198)</f>
        <v/>
      </c>
      <c r="G198" s="9">
        <f>SUMIFS(Actuals!$I:$I,Actuals!$A:$A,$A198)</f>
        <v/>
      </c>
      <c r="H198" s="9">
        <f>SUMIFS(Actuals!$J:$J,Actuals!$A:$A,$A198)</f>
        <v/>
      </c>
      <c r="I198" s="9">
        <f>SUMIFS(Actuals!$K:$K,Actuals!$A:$A,$A198)</f>
        <v/>
      </c>
      <c r="J198" s="9">
        <f>SUMIFS(Actuals!$L:$L,Actuals!$A:$A,$A198)</f>
        <v/>
      </c>
      <c r="K198" s="9">
        <f>SUMIFS(Actuals!$M:$M,Actuals!$A:$A,$A198)</f>
        <v/>
      </c>
      <c r="L198" s="9">
        <f>SUMIFS(Actuals!$N:$N,Actuals!$A:$A,$A198)</f>
        <v/>
      </c>
      <c r="M198" s="9">
        <f>SUMIFS(Actuals!$O:$O,Actuals!$A:$A,$A198)</f>
        <v/>
      </c>
      <c r="N198" s="10">
        <f>SUM(B198:M198)</f>
        <v/>
      </c>
    </row>
    <row r="199">
      <c r="A199" s="5" t="inlineStr">
        <is>
          <t>Superannuation</t>
        </is>
      </c>
      <c r="B199" s="9">
        <f>SUMIFS(Actuals!$D:$D,Actuals!$A:$A,$A199)</f>
        <v/>
      </c>
      <c r="C199" s="9">
        <f>SUMIFS(Actuals!$E:$E,Actuals!$A:$A,$A199)</f>
        <v/>
      </c>
      <c r="D199" s="9">
        <f>SUMIFS(Actuals!$F:$F,Actuals!$A:$A,$A199)</f>
        <v/>
      </c>
      <c r="E199" s="9">
        <f>SUMIFS(Actuals!$G:$G,Actuals!$A:$A,$A199)</f>
        <v/>
      </c>
      <c r="F199" s="9">
        <f>SUMIFS(Actuals!$H:$H,Actuals!$A:$A,$A199)</f>
        <v/>
      </c>
      <c r="G199" s="9">
        <f>SUMIFS(Actuals!$I:$I,Actuals!$A:$A,$A199)</f>
        <v/>
      </c>
      <c r="H199" s="9">
        <f>SUMIFS(Actuals!$J:$J,Actuals!$A:$A,$A199)</f>
        <v/>
      </c>
      <c r="I199" s="9">
        <f>SUMIFS(Actuals!$K:$K,Actuals!$A:$A,$A199)</f>
        <v/>
      </c>
      <c r="J199" s="9">
        <f>SUMIFS(Actuals!$L:$L,Actuals!$A:$A,$A199)</f>
        <v/>
      </c>
      <c r="K199" s="9">
        <f>SUMIFS(Actuals!$M:$M,Actuals!$A:$A,$A199)</f>
        <v/>
      </c>
      <c r="L199" s="9">
        <f>SUMIFS(Actuals!$N:$N,Actuals!$A:$A,$A199)</f>
        <v/>
      </c>
      <c r="M199" s="9">
        <f>SUMIFS(Actuals!$O:$O,Actuals!$A:$A,$A199)</f>
        <v/>
      </c>
      <c r="N199" s="10">
        <f>SUM(B199:M199)</f>
        <v/>
      </c>
    </row>
    <row r="200">
      <c r="A200" s="5" t="inlineStr">
        <is>
          <t>Taxis/Parking</t>
        </is>
      </c>
      <c r="B200" s="9">
        <f>SUMIFS(Actuals!$D:$D,Actuals!$A:$A,$A200)</f>
        <v/>
      </c>
      <c r="C200" s="9">
        <f>SUMIFS(Actuals!$E:$E,Actuals!$A:$A,$A200)</f>
        <v/>
      </c>
      <c r="D200" s="9">
        <f>SUMIFS(Actuals!$F:$F,Actuals!$A:$A,$A200)</f>
        <v/>
      </c>
      <c r="E200" s="9">
        <f>SUMIFS(Actuals!$G:$G,Actuals!$A:$A,$A200)</f>
        <v/>
      </c>
      <c r="F200" s="9">
        <f>SUMIFS(Actuals!$H:$H,Actuals!$A:$A,$A200)</f>
        <v/>
      </c>
      <c r="G200" s="9">
        <f>SUMIFS(Actuals!$I:$I,Actuals!$A:$A,$A200)</f>
        <v/>
      </c>
      <c r="H200" s="9">
        <f>SUMIFS(Actuals!$J:$J,Actuals!$A:$A,$A200)</f>
        <v/>
      </c>
      <c r="I200" s="9">
        <f>SUMIFS(Actuals!$K:$K,Actuals!$A:$A,$A200)</f>
        <v/>
      </c>
      <c r="J200" s="9">
        <f>SUMIFS(Actuals!$L:$L,Actuals!$A:$A,$A200)</f>
        <v/>
      </c>
      <c r="K200" s="9">
        <f>SUMIFS(Actuals!$M:$M,Actuals!$A:$A,$A200)</f>
        <v/>
      </c>
      <c r="L200" s="9">
        <f>SUMIFS(Actuals!$N:$N,Actuals!$A:$A,$A200)</f>
        <v/>
      </c>
      <c r="M200" s="9">
        <f>SUMIFS(Actuals!$O:$O,Actuals!$A:$A,$A200)</f>
        <v/>
      </c>
      <c r="N200" s="10">
        <f>SUM(B200:M200)</f>
        <v/>
      </c>
    </row>
    <row r="201">
      <c r="A201" s="5" t="inlineStr">
        <is>
          <t>Training Material &amp; Courses</t>
        </is>
      </c>
      <c r="B201" s="9">
        <f>SUMIFS(Actuals!$D:$D,Actuals!$A:$A,$A201)</f>
        <v/>
      </c>
      <c r="C201" s="9">
        <f>SUMIFS(Actuals!$E:$E,Actuals!$A:$A,$A201)</f>
        <v/>
      </c>
      <c r="D201" s="9">
        <f>SUMIFS(Actuals!$F:$F,Actuals!$A:$A,$A201)</f>
        <v/>
      </c>
      <c r="E201" s="9">
        <f>SUMIFS(Actuals!$G:$G,Actuals!$A:$A,$A201)</f>
        <v/>
      </c>
      <c r="F201" s="9">
        <f>SUMIFS(Actuals!$H:$H,Actuals!$A:$A,$A201)</f>
        <v/>
      </c>
      <c r="G201" s="9">
        <f>SUMIFS(Actuals!$I:$I,Actuals!$A:$A,$A201)</f>
        <v/>
      </c>
      <c r="H201" s="9">
        <f>SUMIFS(Actuals!$J:$J,Actuals!$A:$A,$A201)</f>
        <v/>
      </c>
      <c r="I201" s="9">
        <f>SUMIFS(Actuals!$K:$K,Actuals!$A:$A,$A201)</f>
        <v/>
      </c>
      <c r="J201" s="9">
        <f>SUMIFS(Actuals!$L:$L,Actuals!$A:$A,$A201)</f>
        <v/>
      </c>
      <c r="K201" s="9">
        <f>SUMIFS(Actuals!$M:$M,Actuals!$A:$A,$A201)</f>
        <v/>
      </c>
      <c r="L201" s="9">
        <f>SUMIFS(Actuals!$N:$N,Actuals!$A:$A,$A201)</f>
        <v/>
      </c>
      <c r="M201" s="9">
        <f>SUMIFS(Actuals!$O:$O,Actuals!$A:$A,$A201)</f>
        <v/>
      </c>
      <c r="N201" s="10">
        <f>SUM(B201:M201)</f>
        <v/>
      </c>
    </row>
    <row r="202">
      <c r="A202" s="5" t="inlineStr">
        <is>
          <t>Travel &amp; Per Diems</t>
        </is>
      </c>
      <c r="B202" s="9">
        <f>SUMIFS(Actuals!$D:$D,Actuals!$A:$A,$A202)</f>
        <v/>
      </c>
      <c r="C202" s="9">
        <f>SUMIFS(Actuals!$E:$E,Actuals!$A:$A,$A202)</f>
        <v/>
      </c>
      <c r="D202" s="9">
        <f>SUMIFS(Actuals!$F:$F,Actuals!$A:$A,$A202)</f>
        <v/>
      </c>
      <c r="E202" s="9">
        <f>SUMIFS(Actuals!$G:$G,Actuals!$A:$A,$A202)</f>
        <v/>
      </c>
      <c r="F202" s="9">
        <f>SUMIFS(Actuals!$H:$H,Actuals!$A:$A,$A202)</f>
        <v/>
      </c>
      <c r="G202" s="9">
        <f>SUMIFS(Actuals!$I:$I,Actuals!$A:$A,$A202)</f>
        <v/>
      </c>
      <c r="H202" s="9">
        <f>SUMIFS(Actuals!$J:$J,Actuals!$A:$A,$A202)</f>
        <v/>
      </c>
      <c r="I202" s="9">
        <f>SUMIFS(Actuals!$K:$K,Actuals!$A:$A,$A202)</f>
        <v/>
      </c>
      <c r="J202" s="9">
        <f>SUMIFS(Actuals!$L:$L,Actuals!$A:$A,$A202)</f>
        <v/>
      </c>
      <c r="K202" s="9">
        <f>SUMIFS(Actuals!$M:$M,Actuals!$A:$A,$A202)</f>
        <v/>
      </c>
      <c r="L202" s="9">
        <f>SUMIFS(Actuals!$N:$N,Actuals!$A:$A,$A202)</f>
        <v/>
      </c>
      <c r="M202" s="9">
        <f>SUMIFS(Actuals!$O:$O,Actuals!$A:$A,$A202)</f>
        <v/>
      </c>
      <c r="N202" s="10">
        <f>SUM(B202:M202)</f>
        <v/>
      </c>
    </row>
    <row r="203">
      <c r="A203" s="5" t="inlineStr">
        <is>
          <t>Travel Insurance</t>
        </is>
      </c>
      <c r="B203" s="9">
        <f>SUMIFS(Actuals!$D:$D,Actuals!$A:$A,$A203)</f>
        <v/>
      </c>
      <c r="C203" s="9">
        <f>SUMIFS(Actuals!$E:$E,Actuals!$A:$A,$A203)</f>
        <v/>
      </c>
      <c r="D203" s="9">
        <f>SUMIFS(Actuals!$F:$F,Actuals!$A:$A,$A203)</f>
        <v/>
      </c>
      <c r="E203" s="9">
        <f>SUMIFS(Actuals!$G:$G,Actuals!$A:$A,$A203)</f>
        <v/>
      </c>
      <c r="F203" s="9">
        <f>SUMIFS(Actuals!$H:$H,Actuals!$A:$A,$A203)</f>
        <v/>
      </c>
      <c r="G203" s="9">
        <f>SUMIFS(Actuals!$I:$I,Actuals!$A:$A,$A203)</f>
        <v/>
      </c>
      <c r="H203" s="9">
        <f>SUMIFS(Actuals!$J:$J,Actuals!$A:$A,$A203)</f>
        <v/>
      </c>
      <c r="I203" s="9">
        <f>SUMIFS(Actuals!$K:$K,Actuals!$A:$A,$A203)</f>
        <v/>
      </c>
      <c r="J203" s="9">
        <f>SUMIFS(Actuals!$L:$L,Actuals!$A:$A,$A203)</f>
        <v/>
      </c>
      <c r="K203" s="9">
        <f>SUMIFS(Actuals!$M:$M,Actuals!$A:$A,$A203)</f>
        <v/>
      </c>
      <c r="L203" s="9">
        <f>SUMIFS(Actuals!$N:$N,Actuals!$A:$A,$A203)</f>
        <v/>
      </c>
      <c r="M203" s="9">
        <f>SUMIFS(Actuals!$O:$O,Actuals!$A:$A,$A203)</f>
        <v/>
      </c>
      <c r="N203" s="10">
        <f>SUM(B203:M203)</f>
        <v/>
      </c>
    </row>
    <row r="204">
      <c r="A204" s="5" t="inlineStr">
        <is>
          <t>Under/(Over) provision for tax</t>
        </is>
      </c>
      <c r="B204" s="9">
        <f>SUMIFS(Actuals!$D:$D,Actuals!$A:$A,$A204)</f>
        <v/>
      </c>
      <c r="C204" s="9">
        <f>SUMIFS(Actuals!$E:$E,Actuals!$A:$A,$A204)</f>
        <v/>
      </c>
      <c r="D204" s="9">
        <f>SUMIFS(Actuals!$F:$F,Actuals!$A:$A,$A204)</f>
        <v/>
      </c>
      <c r="E204" s="9">
        <f>SUMIFS(Actuals!$G:$G,Actuals!$A:$A,$A204)</f>
        <v/>
      </c>
      <c r="F204" s="9">
        <f>SUMIFS(Actuals!$H:$H,Actuals!$A:$A,$A204)</f>
        <v/>
      </c>
      <c r="G204" s="9">
        <f>SUMIFS(Actuals!$I:$I,Actuals!$A:$A,$A204)</f>
        <v/>
      </c>
      <c r="H204" s="9">
        <f>SUMIFS(Actuals!$J:$J,Actuals!$A:$A,$A204)</f>
        <v/>
      </c>
      <c r="I204" s="9">
        <f>SUMIFS(Actuals!$K:$K,Actuals!$A:$A,$A204)</f>
        <v/>
      </c>
      <c r="J204" s="9">
        <f>SUMIFS(Actuals!$L:$L,Actuals!$A:$A,$A204)</f>
        <v/>
      </c>
      <c r="K204" s="9">
        <f>SUMIFS(Actuals!$M:$M,Actuals!$A:$A,$A204)</f>
        <v/>
      </c>
      <c r="L204" s="9">
        <f>SUMIFS(Actuals!$N:$N,Actuals!$A:$A,$A204)</f>
        <v/>
      </c>
      <c r="M204" s="9">
        <f>SUMIFS(Actuals!$O:$O,Actuals!$A:$A,$A204)</f>
        <v/>
      </c>
      <c r="N204" s="10">
        <f>SUM(B204:M204)</f>
        <v/>
      </c>
    </row>
    <row r="205">
      <c r="A205" s="5" t="inlineStr">
        <is>
          <t>Unrealised Currency Gains</t>
        </is>
      </c>
      <c r="B205" s="9">
        <f>SUMIFS(Actuals!$D:$D,Actuals!$A:$A,$A205)</f>
        <v/>
      </c>
      <c r="C205" s="9">
        <f>SUMIFS(Actuals!$E:$E,Actuals!$A:$A,$A205)</f>
        <v/>
      </c>
      <c r="D205" s="9">
        <f>SUMIFS(Actuals!$F:$F,Actuals!$A:$A,$A205)</f>
        <v/>
      </c>
      <c r="E205" s="9">
        <f>SUMIFS(Actuals!$G:$G,Actuals!$A:$A,$A205)</f>
        <v/>
      </c>
      <c r="F205" s="9">
        <f>SUMIFS(Actuals!$H:$H,Actuals!$A:$A,$A205)</f>
        <v/>
      </c>
      <c r="G205" s="9">
        <f>SUMIFS(Actuals!$I:$I,Actuals!$A:$A,$A205)</f>
        <v/>
      </c>
      <c r="H205" s="9">
        <f>SUMIFS(Actuals!$J:$J,Actuals!$A:$A,$A205)</f>
        <v/>
      </c>
      <c r="I205" s="9">
        <f>SUMIFS(Actuals!$K:$K,Actuals!$A:$A,$A205)</f>
        <v/>
      </c>
      <c r="J205" s="9">
        <f>SUMIFS(Actuals!$L:$L,Actuals!$A:$A,$A205)</f>
        <v/>
      </c>
      <c r="K205" s="9">
        <f>SUMIFS(Actuals!$M:$M,Actuals!$A:$A,$A205)</f>
        <v/>
      </c>
      <c r="L205" s="9">
        <f>SUMIFS(Actuals!$N:$N,Actuals!$A:$A,$A205)</f>
        <v/>
      </c>
      <c r="M205" s="9">
        <f>SUMIFS(Actuals!$O:$O,Actuals!$A:$A,$A205)</f>
        <v/>
      </c>
      <c r="N205" s="10">
        <f>SUM(B205:M205)</f>
        <v/>
      </c>
    </row>
    <row r="206">
      <c r="A206" s="5" t="inlineStr">
        <is>
          <t>Workers' Compensation</t>
        </is>
      </c>
      <c r="B206" s="9">
        <f>SUMIFS(Actuals!$D:$D,Actuals!$A:$A,$A206)</f>
        <v/>
      </c>
      <c r="C206" s="9">
        <f>SUMIFS(Actuals!$E:$E,Actuals!$A:$A,$A206)</f>
        <v/>
      </c>
      <c r="D206" s="9">
        <f>SUMIFS(Actuals!$F:$F,Actuals!$A:$A,$A206)</f>
        <v/>
      </c>
      <c r="E206" s="9">
        <f>SUMIFS(Actuals!$G:$G,Actuals!$A:$A,$A206)</f>
        <v/>
      </c>
      <c r="F206" s="9">
        <f>SUMIFS(Actuals!$H:$H,Actuals!$A:$A,$A206)</f>
        <v/>
      </c>
      <c r="G206" s="9">
        <f>SUMIFS(Actuals!$I:$I,Actuals!$A:$A,$A206)</f>
        <v/>
      </c>
      <c r="H206" s="9">
        <f>SUMIFS(Actuals!$J:$J,Actuals!$A:$A,$A206)</f>
        <v/>
      </c>
      <c r="I206" s="9">
        <f>SUMIFS(Actuals!$K:$K,Actuals!$A:$A,$A206)</f>
        <v/>
      </c>
      <c r="J206" s="9">
        <f>SUMIFS(Actuals!$L:$L,Actuals!$A:$A,$A206)</f>
        <v/>
      </c>
      <c r="K206" s="9">
        <f>SUMIFS(Actuals!$M:$M,Actuals!$A:$A,$A206)</f>
        <v/>
      </c>
      <c r="L206" s="9">
        <f>SUMIFS(Actuals!$N:$N,Actuals!$A:$A,$A206)</f>
        <v/>
      </c>
      <c r="M206" s="9">
        <f>SUMIFS(Actuals!$O:$O,Actuals!$A:$A,$A206)</f>
        <v/>
      </c>
      <c r="N206" s="10">
        <f>SUM(B206:M206)</f>
        <v/>
      </c>
    </row>
    <row r="207">
      <c r="A207" s="11" t="inlineStr">
        <is>
          <t>Total Expenses</t>
        </is>
      </c>
      <c r="B207" s="12">
        <f>SUM(B127:B206)</f>
        <v/>
      </c>
      <c r="C207" s="12">
        <f>SUM(C127:C206)</f>
        <v/>
      </c>
      <c r="D207" s="12">
        <f>SUM(D127:D206)</f>
        <v/>
      </c>
      <c r="E207" s="12">
        <f>SUM(E127:E206)</f>
        <v/>
      </c>
      <c r="F207" s="12">
        <f>SUM(F127:F206)</f>
        <v/>
      </c>
      <c r="G207" s="12">
        <f>SUM(G127:G206)</f>
        <v/>
      </c>
      <c r="H207" s="12">
        <f>SUM(H127:H206)</f>
        <v/>
      </c>
      <c r="I207" s="12">
        <f>SUM(I127:I206)</f>
        <v/>
      </c>
      <c r="J207" s="12">
        <f>SUM(J127:J206)</f>
        <v/>
      </c>
      <c r="K207" s="12">
        <f>SUM(K127:K206)</f>
        <v/>
      </c>
      <c r="L207" s="12">
        <f>SUM(L127:L206)</f>
        <v/>
      </c>
      <c r="M207" s="12">
        <f>SUM(M127:M206)</f>
        <v/>
      </c>
      <c r="N207" s="12">
        <f>SUM(B207:M207)</f>
        <v/>
      </c>
    </row>
    <row r="209">
      <c r="A209" s="11" t="inlineStr">
        <is>
          <t>NET PROFIT</t>
        </is>
      </c>
      <c r="B209" s="12">
        <f>B111+B124-B207</f>
        <v/>
      </c>
      <c r="C209" s="12">
        <f>C111+C124-C207</f>
        <v/>
      </c>
      <c r="D209" s="12">
        <f>D111+D124-D207</f>
        <v/>
      </c>
      <c r="E209" s="12">
        <f>E111+E124-E207</f>
        <v/>
      </c>
      <c r="F209" s="12">
        <f>F111+F124-F207</f>
        <v/>
      </c>
      <c r="G209" s="12">
        <f>G111+G124-G207</f>
        <v/>
      </c>
      <c r="H209" s="12">
        <f>H111+H124-H207</f>
        <v/>
      </c>
      <c r="I209" s="12">
        <f>I111+I124-I207</f>
        <v/>
      </c>
      <c r="J209" s="12">
        <f>J111+J124-J207</f>
        <v/>
      </c>
      <c r="K209" s="12">
        <f>K111+K124-K207</f>
        <v/>
      </c>
      <c r="L209" s="12">
        <f>L111+L124-L207</f>
        <v/>
      </c>
      <c r="M209" s="12">
        <f>M111+M124-M207</f>
        <v/>
      </c>
      <c r="N209" s="12">
        <f>SUM(B209:M209)</f>
        <v/>
      </c>
    </row>
    <row r="210">
      <c r="A210" s="11" t="inlineStr">
        <is>
          <t>Net Profit %</t>
        </is>
      </c>
      <c r="B210" s="13">
        <f>IFERROR(B209/B40,0)</f>
        <v/>
      </c>
      <c r="C210" s="13">
        <f>IFERROR(C209/C40,0)</f>
        <v/>
      </c>
      <c r="D210" s="13">
        <f>IFERROR(D209/D40,0)</f>
        <v/>
      </c>
      <c r="E210" s="13">
        <f>IFERROR(E209/E40,0)</f>
        <v/>
      </c>
      <c r="F210" s="13">
        <f>IFERROR(F209/F40,0)</f>
        <v/>
      </c>
      <c r="G210" s="13">
        <f>IFERROR(G209/G40,0)</f>
        <v/>
      </c>
      <c r="H210" s="13">
        <f>IFERROR(H209/H40,0)</f>
        <v/>
      </c>
      <c r="I210" s="13">
        <f>IFERROR(I209/I40,0)</f>
        <v/>
      </c>
      <c r="J210" s="13">
        <f>IFERROR(J209/J40,0)</f>
        <v/>
      </c>
      <c r="K210" s="13">
        <f>IFERROR(K209/K40,0)</f>
        <v/>
      </c>
      <c r="L210" s="13">
        <f>IFERROR(L209/L40,0)</f>
        <v/>
      </c>
      <c r="M210" s="13">
        <f>IFERROR(M209/M40,0)</f>
        <v/>
      </c>
      <c r="N210" s="13">
        <f>SUM(B210:M210)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Year on Year</t>
        </is>
      </c>
    </row>
    <row r="2">
      <c r="A2" s="2" t="inlineStr">
        <is>
          <t>FY27 against FY26, account by account. Calculated from the two P&amp;L sheets.</t>
        </is>
      </c>
    </row>
    <row r="3" ht="28" customHeight="1">
      <c r="A3" s="3" t="inlineStr">
        <is>
          <t>Account</t>
        </is>
      </c>
      <c r="B3" s="4" t="inlineStr">
        <is>
          <t>FY27</t>
        </is>
      </c>
      <c r="C3" s="4" t="inlineStr">
        <is>
          <t>FY26</t>
        </is>
      </c>
      <c r="D3" s="4" t="inlineStr">
        <is>
          <t>Variance $</t>
        </is>
      </c>
      <c r="E3" s="4" t="inlineStr">
        <is>
          <t>Variance %</t>
        </is>
      </c>
    </row>
    <row r="4">
      <c r="A4" s="20" t="inlineStr">
        <is>
          <t>INCOME</t>
        </is>
      </c>
      <c r="B4" s="12">
        <f>'This Year'!N4</f>
        <v/>
      </c>
      <c r="C4" s="12">
        <f>'Last Year'!N4</f>
        <v/>
      </c>
      <c r="D4" s="12">
        <f>B4-C4</f>
        <v/>
      </c>
      <c r="E4" s="13">
        <f>IFERROR(D4/ABS(C4),0)</f>
        <v/>
      </c>
    </row>
    <row r="5">
      <c r="A5" s="21" t="inlineStr">
        <is>
          <t>Ad Hoc Service Labour</t>
        </is>
      </c>
      <c r="B5" s="9">
        <f>'This Year'!N5</f>
        <v/>
      </c>
      <c r="C5" s="9">
        <f>'Last Year'!N5</f>
        <v/>
      </c>
      <c r="D5" s="9">
        <f>B5-C5</f>
        <v/>
      </c>
      <c r="E5" s="22">
        <f>IFERROR(D5/ABS(C5),0)</f>
        <v/>
      </c>
    </row>
    <row r="6">
      <c r="A6" s="21" t="inlineStr">
        <is>
          <t>Closing Work in Progress</t>
        </is>
      </c>
      <c r="B6" s="9">
        <f>'This Year'!N6</f>
        <v/>
      </c>
      <c r="C6" s="9">
        <f>'Last Year'!N6</f>
        <v/>
      </c>
      <c r="D6" s="9">
        <f>B6-C6</f>
        <v/>
      </c>
      <c r="E6" s="22">
        <f>IFERROR(D6/ABS(C6),0)</f>
        <v/>
      </c>
    </row>
    <row r="7">
      <c r="A7" s="21" t="inlineStr">
        <is>
          <t>Conference Call Charge</t>
        </is>
      </c>
      <c r="B7" s="9">
        <f>'This Year'!N7</f>
        <v/>
      </c>
      <c r="C7" s="9">
        <f>'Last Year'!N7</f>
        <v/>
      </c>
      <c r="D7" s="9">
        <f>B7-C7</f>
        <v/>
      </c>
      <c r="E7" s="22">
        <f>IFERROR(D7/ABS(C7),0)</f>
        <v/>
      </c>
    </row>
    <row r="8">
      <c r="A8" s="21" t="inlineStr">
        <is>
          <t>Contract Help Desk</t>
        </is>
      </c>
      <c r="B8" s="9">
        <f>'This Year'!N8</f>
        <v/>
      </c>
      <c r="C8" s="9">
        <f>'Last Year'!N8</f>
        <v/>
      </c>
      <c r="D8" s="9">
        <f>B8-C8</f>
        <v/>
      </c>
      <c r="E8" s="22">
        <f>IFERROR(D8/ABS(C8),0)</f>
        <v/>
      </c>
    </row>
    <row r="9">
      <c r="A9" s="21" t="inlineStr">
        <is>
          <t>Contract Maintenance</t>
        </is>
      </c>
      <c r="B9" s="9">
        <f>'This Year'!N9</f>
        <v/>
      </c>
      <c r="C9" s="9">
        <f>'Last Year'!N9</f>
        <v/>
      </c>
      <c r="D9" s="9">
        <f>B9-C9</f>
        <v/>
      </c>
      <c r="E9" s="22">
        <f>IFERROR(D9/ABS(C9),0)</f>
        <v/>
      </c>
    </row>
    <row r="10">
      <c r="A10" s="21" t="inlineStr">
        <is>
          <t>Contract Support Staff</t>
        </is>
      </c>
      <c r="B10" s="9">
        <f>'This Year'!N10</f>
        <v/>
      </c>
      <c r="C10" s="9">
        <f>'Last Year'!N10</f>
        <v/>
      </c>
      <c r="D10" s="9">
        <f>B10-C10</f>
        <v/>
      </c>
      <c r="E10" s="22">
        <f>IFERROR(D10/ABS(C10),0)</f>
        <v/>
      </c>
    </row>
    <row r="11">
      <c r="A11" s="21" t="inlineStr">
        <is>
          <t>Credit Card Collected - CONS</t>
        </is>
      </c>
      <c r="B11" s="9">
        <f>'This Year'!N11</f>
        <v/>
      </c>
      <c r="C11" s="9">
        <f>'Last Year'!N11</f>
        <v/>
      </c>
      <c r="D11" s="9">
        <f>B11-C11</f>
        <v/>
      </c>
      <c r="E11" s="22">
        <f>IFERROR(D11/ABS(C11),0)</f>
        <v/>
      </c>
    </row>
    <row r="12">
      <c r="A12" s="21" t="inlineStr">
        <is>
          <t>Credit Card Collected - ONS</t>
        </is>
      </c>
      <c r="B12" s="9">
        <f>'This Year'!N12</f>
        <v/>
      </c>
      <c r="C12" s="9">
        <f>'Last Year'!N12</f>
        <v/>
      </c>
      <c r="D12" s="9">
        <f>B12-C12</f>
        <v/>
      </c>
      <c r="E12" s="22">
        <f>IFERROR(D12/ABS(C12),0)</f>
        <v/>
      </c>
    </row>
    <row r="13">
      <c r="A13" s="21" t="inlineStr">
        <is>
          <t>Credit Card Collected - PRD</t>
        </is>
      </c>
      <c r="B13" s="9">
        <f>'This Year'!N13</f>
        <v/>
      </c>
      <c r="C13" s="9">
        <f>'Last Year'!N13</f>
        <v/>
      </c>
      <c r="D13" s="9">
        <f>B13-C13</f>
        <v/>
      </c>
      <c r="E13" s="22">
        <f>IFERROR(D13/ABS(C13),0)</f>
        <v/>
      </c>
    </row>
    <row r="14">
      <c r="A14" s="21" t="inlineStr">
        <is>
          <t>Credit Card Collected - VID</t>
        </is>
      </c>
      <c r="B14" s="9">
        <f>'This Year'!N14</f>
        <v/>
      </c>
      <c r="C14" s="9">
        <f>'Last Year'!N14</f>
        <v/>
      </c>
      <c r="D14" s="9">
        <f>B14-C14</f>
        <v/>
      </c>
      <c r="E14" s="22">
        <f>IFERROR(D14/ABS(C14),0)</f>
        <v/>
      </c>
    </row>
    <row r="15">
      <c r="A15" s="21" t="inlineStr">
        <is>
          <t>Credit Card Collected-INTEGRATION</t>
        </is>
      </c>
      <c r="B15" s="9">
        <f>'This Year'!N15</f>
        <v/>
      </c>
      <c r="C15" s="9">
        <f>'Last Year'!N15</f>
        <v/>
      </c>
      <c r="D15" s="9">
        <f>B15-C15</f>
        <v/>
      </c>
      <c r="E15" s="22">
        <f>IFERROR(D15/ABS(C15),0)</f>
        <v/>
      </c>
    </row>
    <row r="16">
      <c r="A16" s="21" t="inlineStr">
        <is>
          <t>Credit Card Fees - ADMIN</t>
        </is>
      </c>
      <c r="B16" s="9">
        <f>'This Year'!N16</f>
        <v/>
      </c>
      <c r="C16" s="9">
        <f>'Last Year'!N16</f>
        <v/>
      </c>
      <c r="D16" s="9">
        <f>B16-C16</f>
        <v/>
      </c>
      <c r="E16" s="22">
        <f>IFERROR(D16/ABS(C16),0)</f>
        <v/>
      </c>
    </row>
    <row r="17">
      <c r="A17" s="21" t="inlineStr">
        <is>
          <t>Equipment Hires</t>
        </is>
      </c>
      <c r="B17" s="9">
        <f>'This Year'!N17</f>
        <v/>
      </c>
      <c r="C17" s="9">
        <f>'Last Year'!N17</f>
        <v/>
      </c>
      <c r="D17" s="9">
        <f>B17-C17</f>
        <v/>
      </c>
      <c r="E17" s="22">
        <f>IFERROR(D17/ABS(C17),0)</f>
        <v/>
      </c>
    </row>
    <row r="18">
      <c r="A18" s="21" t="inlineStr">
        <is>
          <t>Equipment Sales</t>
        </is>
      </c>
      <c r="B18" s="9">
        <f>'This Year'!N18</f>
        <v/>
      </c>
      <c r="C18" s="9">
        <f>'Last Year'!N18</f>
        <v/>
      </c>
      <c r="D18" s="9">
        <f>B18-C18</f>
        <v/>
      </c>
      <c r="E18" s="22">
        <f>IFERROR(D18/ABS(C18),0)</f>
        <v/>
      </c>
    </row>
    <row r="19">
      <c r="A19" s="21" t="inlineStr">
        <is>
          <t>Freight &amp; Travel - ADMIN</t>
        </is>
      </c>
      <c r="B19" s="9">
        <f>'This Year'!N19</f>
        <v/>
      </c>
      <c r="C19" s="9">
        <f>'Last Year'!N19</f>
        <v/>
      </c>
      <c r="D19" s="9">
        <f>B19-C19</f>
        <v/>
      </c>
      <c r="E19" s="22">
        <f>IFERROR(D19/ABS(C19),0)</f>
        <v/>
      </c>
    </row>
    <row r="20">
      <c r="A20" s="21" t="inlineStr">
        <is>
          <t>Freight &amp; Travel - CONS</t>
        </is>
      </c>
      <c r="B20" s="9">
        <f>'This Year'!N20</f>
        <v/>
      </c>
      <c r="C20" s="9">
        <f>'Last Year'!N20</f>
        <v/>
      </c>
      <c r="D20" s="9">
        <f>B20-C20</f>
        <v/>
      </c>
      <c r="E20" s="22">
        <f>IFERROR(D20/ABS(C20),0)</f>
        <v/>
      </c>
    </row>
    <row r="21">
      <c r="A21" s="21" t="inlineStr">
        <is>
          <t>Freight &amp; Travel - INTEGRATION</t>
        </is>
      </c>
      <c r="B21" s="9">
        <f>'This Year'!N21</f>
        <v/>
      </c>
      <c r="C21" s="9">
        <f>'Last Year'!N21</f>
        <v/>
      </c>
      <c r="D21" s="9">
        <f>B21-C21</f>
        <v/>
      </c>
      <c r="E21" s="22">
        <f>IFERROR(D21/ABS(C21),0)</f>
        <v/>
      </c>
    </row>
    <row r="22">
      <c r="A22" s="21" t="inlineStr">
        <is>
          <t>Freight &amp; Travel - ONS</t>
        </is>
      </c>
      <c r="B22" s="9">
        <f>'This Year'!N22</f>
        <v/>
      </c>
      <c r="C22" s="9">
        <f>'Last Year'!N22</f>
        <v/>
      </c>
      <c r="D22" s="9">
        <f>B22-C22</f>
        <v/>
      </c>
      <c r="E22" s="22">
        <f>IFERROR(D22/ABS(C22),0)</f>
        <v/>
      </c>
    </row>
    <row r="23">
      <c r="A23" s="21" t="inlineStr">
        <is>
          <t>Freight &amp; Travel - PRD</t>
        </is>
      </c>
      <c r="B23" s="9">
        <f>'This Year'!N23</f>
        <v/>
      </c>
      <c r="C23" s="9">
        <f>'Last Year'!N23</f>
        <v/>
      </c>
      <c r="D23" s="9">
        <f>B23-C23</f>
        <v/>
      </c>
      <c r="E23" s="22">
        <f>IFERROR(D23/ABS(C23),0)</f>
        <v/>
      </c>
    </row>
    <row r="24">
      <c r="A24" s="21" t="inlineStr">
        <is>
          <t>Freight &amp; Travel - VID</t>
        </is>
      </c>
      <c r="B24" s="9">
        <f>'This Year'!N24</f>
        <v/>
      </c>
      <c r="C24" s="9">
        <f>'Last Year'!N24</f>
        <v/>
      </c>
      <c r="D24" s="9">
        <f>B24-C24</f>
        <v/>
      </c>
      <c r="E24" s="22">
        <f>IFERROR(D24/ABS(C24),0)</f>
        <v/>
      </c>
    </row>
    <row r="25">
      <c r="A25" s="21" t="inlineStr">
        <is>
          <t>Installation Labour</t>
        </is>
      </c>
      <c r="B25" s="9">
        <f>'This Year'!N25</f>
        <v/>
      </c>
      <c r="C25" s="9">
        <f>'Last Year'!N25</f>
        <v/>
      </c>
      <c r="D25" s="9">
        <f>B25-C25</f>
        <v/>
      </c>
      <c r="E25" s="22">
        <f>IFERROR(D25/ABS(C25),0)</f>
        <v/>
      </c>
    </row>
    <row r="26">
      <c r="A26" s="21" t="inlineStr">
        <is>
          <t>Meal &amp; Travel - ADMIN</t>
        </is>
      </c>
      <c r="B26" s="9">
        <f>'This Year'!N26</f>
        <v/>
      </c>
      <c r="C26" s="9">
        <f>'Last Year'!N26</f>
        <v/>
      </c>
      <c r="D26" s="9">
        <f>B26-C26</f>
        <v/>
      </c>
      <c r="E26" s="22">
        <f>IFERROR(D26/ABS(C26),0)</f>
        <v/>
      </c>
    </row>
    <row r="27">
      <c r="A27" s="21" t="inlineStr">
        <is>
          <t>Meal &amp; Travel - CONS</t>
        </is>
      </c>
      <c r="B27" s="9">
        <f>'This Year'!N27</f>
        <v/>
      </c>
      <c r="C27" s="9">
        <f>'Last Year'!N27</f>
        <v/>
      </c>
      <c r="D27" s="9">
        <f>B27-C27</f>
        <v/>
      </c>
      <c r="E27" s="22">
        <f>IFERROR(D27/ABS(C27),0)</f>
        <v/>
      </c>
    </row>
    <row r="28">
      <c r="A28" s="21" t="inlineStr">
        <is>
          <t>Meal &amp; Travel - INTEGRATION</t>
        </is>
      </c>
      <c r="B28" s="9">
        <f>'This Year'!N28</f>
        <v/>
      </c>
      <c r="C28" s="9">
        <f>'Last Year'!N28</f>
        <v/>
      </c>
      <c r="D28" s="9">
        <f>B28-C28</f>
        <v/>
      </c>
      <c r="E28" s="22">
        <f>IFERROR(D28/ABS(C28),0)</f>
        <v/>
      </c>
    </row>
    <row r="29">
      <c r="A29" s="21" t="inlineStr">
        <is>
          <t>Meal &amp; Travel - ONS</t>
        </is>
      </c>
      <c r="B29" s="9">
        <f>'This Year'!N29</f>
        <v/>
      </c>
      <c r="C29" s="9">
        <f>'Last Year'!N29</f>
        <v/>
      </c>
      <c r="D29" s="9">
        <f>B29-C29</f>
        <v/>
      </c>
      <c r="E29" s="22">
        <f>IFERROR(D29/ABS(C29),0)</f>
        <v/>
      </c>
    </row>
    <row r="30">
      <c r="A30" s="21" t="inlineStr">
        <is>
          <t>Meal &amp; Travel - PRD</t>
        </is>
      </c>
      <c r="B30" s="9">
        <f>'This Year'!N30</f>
        <v/>
      </c>
      <c r="C30" s="9">
        <f>'Last Year'!N30</f>
        <v/>
      </c>
      <c r="D30" s="9">
        <f>B30-C30</f>
        <v/>
      </c>
      <c r="E30" s="22">
        <f>IFERROR(D30/ABS(C30),0)</f>
        <v/>
      </c>
    </row>
    <row r="31">
      <c r="A31" s="21" t="inlineStr">
        <is>
          <t>Meal &amp; Travel - VID</t>
        </is>
      </c>
      <c r="B31" s="9">
        <f>'This Year'!N31</f>
        <v/>
      </c>
      <c r="C31" s="9">
        <f>'Last Year'!N31</f>
        <v/>
      </c>
      <c r="D31" s="9">
        <f>B31-C31</f>
        <v/>
      </c>
      <c r="E31" s="22">
        <f>IFERROR(D31/ABS(C31),0)</f>
        <v/>
      </c>
    </row>
    <row r="32">
      <c r="A32" s="21" t="inlineStr">
        <is>
          <t>Miscellaneous Income</t>
        </is>
      </c>
      <c r="B32" s="9">
        <f>'This Year'!N32</f>
        <v/>
      </c>
      <c r="C32" s="9">
        <f>'Last Year'!N32</f>
        <v/>
      </c>
      <c r="D32" s="9">
        <f>B32-C32</f>
        <v/>
      </c>
      <c r="E32" s="22">
        <f>IFERROR(D32/ABS(C32),0)</f>
        <v/>
      </c>
    </row>
    <row r="33">
      <c r="A33" s="21" t="inlineStr">
        <is>
          <t>Mobile Phone Plans</t>
        </is>
      </c>
      <c r="B33" s="9">
        <f>'This Year'!N33</f>
        <v/>
      </c>
      <c r="C33" s="9">
        <f>'Last Year'!N33</f>
        <v/>
      </c>
      <c r="D33" s="9">
        <f>B33-C33</f>
        <v/>
      </c>
      <c r="E33" s="22">
        <f>IFERROR(D33/ABS(C33),0)</f>
        <v/>
      </c>
    </row>
    <row r="34">
      <c r="A34" s="21" t="inlineStr">
        <is>
          <t>Opening Work in Progress</t>
        </is>
      </c>
      <c r="B34" s="9">
        <f>'This Year'!N34</f>
        <v/>
      </c>
      <c r="C34" s="9">
        <f>'Last Year'!N34</f>
        <v/>
      </c>
      <c r="D34" s="9">
        <f>B34-C34</f>
        <v/>
      </c>
      <c r="E34" s="22">
        <f>IFERROR(D34/ABS(C34),0)</f>
        <v/>
      </c>
    </row>
    <row r="35">
      <c r="A35" s="21" t="inlineStr">
        <is>
          <t>Production Labour</t>
        </is>
      </c>
      <c r="B35" s="9">
        <f>'This Year'!N35</f>
        <v/>
      </c>
      <c r="C35" s="9">
        <f>'Last Year'!N35</f>
        <v/>
      </c>
      <c r="D35" s="9">
        <f>B35-C35</f>
        <v/>
      </c>
      <c r="E35" s="22">
        <f>IFERROR(D35/ABS(C35),0)</f>
        <v/>
      </c>
    </row>
    <row r="36">
      <c r="A36" s="21" t="inlineStr">
        <is>
          <t>Subscriptions &amp; Licences - Income</t>
        </is>
      </c>
      <c r="B36" s="9">
        <f>'This Year'!N36</f>
        <v/>
      </c>
      <c r="C36" s="9">
        <f>'Last Year'!N36</f>
        <v/>
      </c>
      <c r="D36" s="9">
        <f>B36-C36</f>
        <v/>
      </c>
      <c r="E36" s="22">
        <f>IFERROR(D36/ABS(C36),0)</f>
        <v/>
      </c>
    </row>
    <row r="37">
      <c r="A37" s="21" t="inlineStr">
        <is>
          <t>Tech Consulting/Project Manage</t>
        </is>
      </c>
      <c r="B37" s="9">
        <f>'This Year'!N37</f>
        <v/>
      </c>
      <c r="C37" s="9">
        <f>'Last Year'!N37</f>
        <v/>
      </c>
      <c r="D37" s="9">
        <f>B37-C37</f>
        <v/>
      </c>
      <c r="E37" s="22">
        <f>IFERROR(D37/ABS(C37),0)</f>
        <v/>
      </c>
    </row>
    <row r="38">
      <c r="A38" s="21" t="inlineStr">
        <is>
          <t>Tech Event Management</t>
        </is>
      </c>
      <c r="B38" s="9">
        <f>'This Year'!N38</f>
        <v/>
      </c>
      <c r="C38" s="9">
        <f>'Last Year'!N38</f>
        <v/>
      </c>
      <c r="D38" s="9">
        <f>B38-C38</f>
        <v/>
      </c>
      <c r="E38" s="22">
        <f>IFERROR(D38/ABS(C38),0)</f>
        <v/>
      </c>
    </row>
    <row r="39">
      <c r="A39" s="21" t="inlineStr">
        <is>
          <t>Video Labour</t>
        </is>
      </c>
      <c r="B39" s="9">
        <f>'This Year'!N39</f>
        <v/>
      </c>
      <c r="C39" s="9">
        <f>'Last Year'!N39</f>
        <v/>
      </c>
      <c r="D39" s="9">
        <f>B39-C39</f>
        <v/>
      </c>
      <c r="E39" s="22">
        <f>IFERROR(D39/ABS(C39),0)</f>
        <v/>
      </c>
    </row>
    <row r="40">
      <c r="A40" s="23" t="inlineStr">
        <is>
          <t>Total Income</t>
        </is>
      </c>
      <c r="B40" s="12">
        <f>'This Year'!N40</f>
        <v/>
      </c>
      <c r="C40" s="12">
        <f>'Last Year'!N40</f>
        <v/>
      </c>
      <c r="D40" s="12">
        <f>B40-C40</f>
        <v/>
      </c>
      <c r="E40" s="13">
        <f>IFERROR(D40/ABS(C40),0)</f>
        <v/>
      </c>
    </row>
    <row r="42">
      <c r="A42" s="20" t="inlineStr">
        <is>
          <t>COST OF SALES</t>
        </is>
      </c>
      <c r="B42" s="12">
        <f>'This Year'!N42</f>
        <v/>
      </c>
      <c r="C42" s="12">
        <f>'Last Year'!N42</f>
        <v/>
      </c>
      <c r="D42" s="12">
        <f>B42-C42</f>
        <v/>
      </c>
      <c r="E42" s="13">
        <f>IFERROR(D42/ABS(C42),0)</f>
        <v/>
      </c>
    </row>
    <row r="43">
      <c r="A43" s="21" t="inlineStr">
        <is>
          <t>Credit Card Paid - ADMIN</t>
        </is>
      </c>
      <c r="B43" s="9">
        <f>'This Year'!N43</f>
        <v/>
      </c>
      <c r="C43" s="9">
        <f>'Last Year'!N43</f>
        <v/>
      </c>
      <c r="D43" s="9">
        <f>B43-C43</f>
        <v/>
      </c>
      <c r="E43" s="22">
        <f>IFERROR(D43/ABS(C43),0)</f>
        <v/>
      </c>
    </row>
    <row r="44">
      <c r="A44" s="21" t="inlineStr">
        <is>
          <t>Credit Card Paid - CONS</t>
        </is>
      </c>
      <c r="B44" s="9">
        <f>'This Year'!N44</f>
        <v/>
      </c>
      <c r="C44" s="9">
        <f>'Last Year'!N44</f>
        <v/>
      </c>
      <c r="D44" s="9">
        <f>B44-C44</f>
        <v/>
      </c>
      <c r="E44" s="22">
        <f>IFERROR(D44/ABS(C44),0)</f>
        <v/>
      </c>
    </row>
    <row r="45">
      <c r="A45" s="21" t="inlineStr">
        <is>
          <t>Credit Card Paid - INTEGRATION</t>
        </is>
      </c>
      <c r="B45" s="9">
        <f>'This Year'!N45</f>
        <v/>
      </c>
      <c r="C45" s="9">
        <f>'Last Year'!N45</f>
        <v/>
      </c>
      <c r="D45" s="9">
        <f>B45-C45</f>
        <v/>
      </c>
      <c r="E45" s="22">
        <f>IFERROR(D45/ABS(C45),0)</f>
        <v/>
      </c>
    </row>
    <row r="46">
      <c r="A46" s="21" t="inlineStr">
        <is>
          <t>Credit Card Paid - ONS</t>
        </is>
      </c>
      <c r="B46" s="9">
        <f>'This Year'!N46</f>
        <v/>
      </c>
      <c r="C46" s="9">
        <f>'Last Year'!N46</f>
        <v/>
      </c>
      <c r="D46" s="9">
        <f>B46-C46</f>
        <v/>
      </c>
      <c r="E46" s="22">
        <f>IFERROR(D46/ABS(C46),0)</f>
        <v/>
      </c>
    </row>
    <row r="47">
      <c r="A47" s="21" t="inlineStr">
        <is>
          <t>Credit Card Paid - PRD</t>
        </is>
      </c>
      <c r="B47" s="9">
        <f>'This Year'!N47</f>
        <v/>
      </c>
      <c r="C47" s="9">
        <f>'Last Year'!N47</f>
        <v/>
      </c>
      <c r="D47" s="9">
        <f>B47-C47</f>
        <v/>
      </c>
      <c r="E47" s="22">
        <f>IFERROR(D47/ABS(C47),0)</f>
        <v/>
      </c>
    </row>
    <row r="48">
      <c r="A48" s="21" t="inlineStr">
        <is>
          <t>Credit Card Paid - VID</t>
        </is>
      </c>
      <c r="B48" s="9">
        <f>'This Year'!N48</f>
        <v/>
      </c>
      <c r="C48" s="9">
        <f>'Last Year'!N48</f>
        <v/>
      </c>
      <c r="D48" s="9">
        <f>B48-C48</f>
        <v/>
      </c>
      <c r="E48" s="22">
        <f>IFERROR(D48/ABS(C48),0)</f>
        <v/>
      </c>
    </row>
    <row r="49">
      <c r="A49" s="21" t="inlineStr">
        <is>
          <t>Damage Waiver</t>
        </is>
      </c>
      <c r="B49" s="9">
        <f>'This Year'!N49</f>
        <v/>
      </c>
      <c r="C49" s="9">
        <f>'Last Year'!N49</f>
        <v/>
      </c>
      <c r="D49" s="9">
        <f>B49-C49</f>
        <v/>
      </c>
      <c r="E49" s="22">
        <f>IFERROR(D49/ABS(C49),0)</f>
        <v/>
      </c>
    </row>
    <row r="50">
      <c r="A50" s="21" t="inlineStr">
        <is>
          <t>Direct Freight - ADMIN</t>
        </is>
      </c>
      <c r="B50" s="9">
        <f>'This Year'!N50</f>
        <v/>
      </c>
      <c r="C50" s="9">
        <f>'Last Year'!N50</f>
        <v/>
      </c>
      <c r="D50" s="9">
        <f>B50-C50</f>
        <v/>
      </c>
      <c r="E50" s="22">
        <f>IFERROR(D50/ABS(C50),0)</f>
        <v/>
      </c>
    </row>
    <row r="51">
      <c r="A51" s="21" t="inlineStr">
        <is>
          <t>Direct Freight - CONS</t>
        </is>
      </c>
      <c r="B51" s="9">
        <f>'This Year'!N51</f>
        <v/>
      </c>
      <c r="C51" s="9">
        <f>'Last Year'!N51</f>
        <v/>
      </c>
      <c r="D51" s="9">
        <f>B51-C51</f>
        <v/>
      </c>
      <c r="E51" s="22">
        <f>IFERROR(D51/ABS(C51),0)</f>
        <v/>
      </c>
    </row>
    <row r="52">
      <c r="A52" s="21" t="inlineStr">
        <is>
          <t>Direct Freight - INTEGRATION</t>
        </is>
      </c>
      <c r="B52" s="9">
        <f>'This Year'!N52</f>
        <v/>
      </c>
      <c r="C52" s="9">
        <f>'Last Year'!N52</f>
        <v/>
      </c>
      <c r="D52" s="9">
        <f>B52-C52</f>
        <v/>
      </c>
      <c r="E52" s="22">
        <f>IFERROR(D52/ABS(C52),0)</f>
        <v/>
      </c>
    </row>
    <row r="53">
      <c r="A53" s="21" t="inlineStr">
        <is>
          <t>Direct Freight - ONS</t>
        </is>
      </c>
      <c r="B53" s="9">
        <f>'This Year'!N53</f>
        <v/>
      </c>
      <c r="C53" s="9">
        <f>'Last Year'!N53</f>
        <v/>
      </c>
      <c r="D53" s="9">
        <f>B53-C53</f>
        <v/>
      </c>
      <c r="E53" s="22">
        <f>IFERROR(D53/ABS(C53),0)</f>
        <v/>
      </c>
    </row>
    <row r="54">
      <c r="A54" s="21" t="inlineStr">
        <is>
          <t>Direct Freight - PRD</t>
        </is>
      </c>
      <c r="B54" s="9">
        <f>'This Year'!N54</f>
        <v/>
      </c>
      <c r="C54" s="9">
        <f>'Last Year'!N54</f>
        <v/>
      </c>
      <c r="D54" s="9">
        <f>B54-C54</f>
        <v/>
      </c>
      <c r="E54" s="22">
        <f>IFERROR(D54/ABS(C54),0)</f>
        <v/>
      </c>
    </row>
    <row r="55">
      <c r="A55" s="21" t="inlineStr">
        <is>
          <t>Direct Freight - VID</t>
        </is>
      </c>
      <c r="B55" s="9">
        <f>'This Year'!N55</f>
        <v/>
      </c>
      <c r="C55" s="9">
        <f>'Last Year'!N55</f>
        <v/>
      </c>
      <c r="D55" s="9">
        <f>B55-C55</f>
        <v/>
      </c>
      <c r="E55" s="22">
        <f>IFERROR(D55/ABS(C55),0)</f>
        <v/>
      </c>
    </row>
    <row r="56">
      <c r="A56" s="21" t="inlineStr">
        <is>
          <t>Direct Mobile - CONS</t>
        </is>
      </c>
      <c r="B56" s="9">
        <f>'This Year'!N56</f>
        <v/>
      </c>
      <c r="C56" s="9">
        <f>'Last Year'!N56</f>
        <v/>
      </c>
      <c r="D56" s="9">
        <f>B56-C56</f>
        <v/>
      </c>
      <c r="E56" s="22">
        <f>IFERROR(D56/ABS(C56),0)</f>
        <v/>
      </c>
    </row>
    <row r="57">
      <c r="A57" s="21" t="inlineStr">
        <is>
          <t>Direct Mobile - INTEGRATION</t>
        </is>
      </c>
      <c r="B57" s="9">
        <f>'This Year'!N57</f>
        <v/>
      </c>
      <c r="C57" s="9">
        <f>'Last Year'!N57</f>
        <v/>
      </c>
      <c r="D57" s="9">
        <f>B57-C57</f>
        <v/>
      </c>
      <c r="E57" s="22">
        <f>IFERROR(D57/ABS(C57),0)</f>
        <v/>
      </c>
    </row>
    <row r="58">
      <c r="A58" s="21" t="inlineStr">
        <is>
          <t>Direct Mobile - ONS</t>
        </is>
      </c>
      <c r="B58" s="9">
        <f>'This Year'!N58</f>
        <v/>
      </c>
      <c r="C58" s="9">
        <f>'Last Year'!N58</f>
        <v/>
      </c>
      <c r="D58" s="9">
        <f>B58-C58</f>
        <v/>
      </c>
      <c r="E58" s="22">
        <f>IFERROR(D58/ABS(C58),0)</f>
        <v/>
      </c>
    </row>
    <row r="59">
      <c r="A59" s="21" t="inlineStr">
        <is>
          <t>Direct Mobile - PRD</t>
        </is>
      </c>
      <c r="B59" s="9">
        <f>'This Year'!N59</f>
        <v/>
      </c>
      <c r="C59" s="9">
        <f>'Last Year'!N59</f>
        <v/>
      </c>
      <c r="D59" s="9">
        <f>B59-C59</f>
        <v/>
      </c>
      <c r="E59" s="22">
        <f>IFERROR(D59/ABS(C59),0)</f>
        <v/>
      </c>
    </row>
    <row r="60">
      <c r="A60" s="21" t="inlineStr">
        <is>
          <t>Direct Mobile - VID</t>
        </is>
      </c>
      <c r="B60" s="9">
        <f>'This Year'!N60</f>
        <v/>
      </c>
      <c r="C60" s="9">
        <f>'Last Year'!N60</f>
        <v/>
      </c>
      <c r="D60" s="9">
        <f>B60-C60</f>
        <v/>
      </c>
      <c r="E60" s="22">
        <f>IFERROR(D60/ABS(C60),0)</f>
        <v/>
      </c>
    </row>
    <row r="61">
      <c r="A61" s="21" t="inlineStr">
        <is>
          <t>Direct Salaries - ADMIN</t>
        </is>
      </c>
      <c r="B61" s="9">
        <f>'This Year'!N61</f>
        <v/>
      </c>
      <c r="C61" s="9">
        <f>'Last Year'!N61</f>
        <v/>
      </c>
      <c r="D61" s="9">
        <f>B61-C61</f>
        <v/>
      </c>
      <c r="E61" s="22">
        <f>IFERROR(D61/ABS(C61),0)</f>
        <v/>
      </c>
    </row>
    <row r="62">
      <c r="A62" s="21" t="inlineStr">
        <is>
          <t>Direct Salaries - CONS</t>
        </is>
      </c>
      <c r="B62" s="9">
        <f>'This Year'!N62</f>
        <v/>
      </c>
      <c r="C62" s="9">
        <f>'Last Year'!N62</f>
        <v/>
      </c>
      <c r="D62" s="9">
        <f>B62-C62</f>
        <v/>
      </c>
      <c r="E62" s="22">
        <f>IFERROR(D62/ABS(C62),0)</f>
        <v/>
      </c>
    </row>
    <row r="63">
      <c r="A63" s="21" t="inlineStr">
        <is>
          <t>Direct Salaries - INTEGRATION</t>
        </is>
      </c>
      <c r="B63" s="9">
        <f>'This Year'!N63</f>
        <v/>
      </c>
      <c r="C63" s="9">
        <f>'Last Year'!N63</f>
        <v/>
      </c>
      <c r="D63" s="9">
        <f>B63-C63</f>
        <v/>
      </c>
      <c r="E63" s="22">
        <f>IFERROR(D63/ABS(C63),0)</f>
        <v/>
      </c>
    </row>
    <row r="64">
      <c r="A64" s="21" t="inlineStr">
        <is>
          <t>Direct Salaries - ONS</t>
        </is>
      </c>
      <c r="B64" s="9">
        <f>'This Year'!N64</f>
        <v/>
      </c>
      <c r="C64" s="9">
        <f>'Last Year'!N64</f>
        <v/>
      </c>
      <c r="D64" s="9">
        <f>B64-C64</f>
        <v/>
      </c>
      <c r="E64" s="22">
        <f>IFERROR(D64/ABS(C64),0)</f>
        <v/>
      </c>
    </row>
    <row r="65">
      <c r="A65" s="21" t="inlineStr">
        <is>
          <t>Direct Salaries - PRD</t>
        </is>
      </c>
      <c r="B65" s="9">
        <f>'This Year'!N65</f>
        <v/>
      </c>
      <c r="C65" s="9">
        <f>'Last Year'!N65</f>
        <v/>
      </c>
      <c r="D65" s="9">
        <f>B65-C65</f>
        <v/>
      </c>
      <c r="E65" s="22">
        <f>IFERROR(D65/ABS(C65),0)</f>
        <v/>
      </c>
    </row>
    <row r="66">
      <c r="A66" s="21" t="inlineStr">
        <is>
          <t>Direct Salaries - VID</t>
        </is>
      </c>
      <c r="B66" s="9">
        <f>'This Year'!N66</f>
        <v/>
      </c>
      <c r="C66" s="9">
        <f>'Last Year'!N66</f>
        <v/>
      </c>
      <c r="D66" s="9">
        <f>B66-C66</f>
        <v/>
      </c>
      <c r="E66" s="22">
        <f>IFERROR(D66/ABS(C66),0)</f>
        <v/>
      </c>
    </row>
    <row r="67">
      <c r="A67" s="21" t="inlineStr">
        <is>
          <t>Direct Superannuation - ADMIN</t>
        </is>
      </c>
      <c r="B67" s="9">
        <f>'This Year'!N67</f>
        <v/>
      </c>
      <c r="C67" s="9">
        <f>'Last Year'!N67</f>
        <v/>
      </c>
      <c r="D67" s="9">
        <f>B67-C67</f>
        <v/>
      </c>
      <c r="E67" s="22">
        <f>IFERROR(D67/ABS(C67),0)</f>
        <v/>
      </c>
    </row>
    <row r="68">
      <c r="A68" s="21" t="inlineStr">
        <is>
          <t>Direct Superannuation - CONS</t>
        </is>
      </c>
      <c r="B68" s="9">
        <f>'This Year'!N68</f>
        <v/>
      </c>
      <c r="C68" s="9">
        <f>'Last Year'!N68</f>
        <v/>
      </c>
      <c r="D68" s="9">
        <f>B68-C68</f>
        <v/>
      </c>
      <c r="E68" s="22">
        <f>IFERROR(D68/ABS(C68),0)</f>
        <v/>
      </c>
    </row>
    <row r="69">
      <c r="A69" s="21" t="inlineStr">
        <is>
          <t>Direct Superannuation - ONS</t>
        </is>
      </c>
      <c r="B69" s="9">
        <f>'This Year'!N69</f>
        <v/>
      </c>
      <c r="C69" s="9">
        <f>'Last Year'!N69</f>
        <v/>
      </c>
      <c r="D69" s="9">
        <f>B69-C69</f>
        <v/>
      </c>
      <c r="E69" s="22">
        <f>IFERROR(D69/ABS(C69),0)</f>
        <v/>
      </c>
    </row>
    <row r="70">
      <c r="A70" s="21" t="inlineStr">
        <is>
          <t>Direct Superannuation - PRD</t>
        </is>
      </c>
      <c r="B70" s="9">
        <f>'This Year'!N70</f>
        <v/>
      </c>
      <c r="C70" s="9">
        <f>'Last Year'!N70</f>
        <v/>
      </c>
      <c r="D70" s="9">
        <f>B70-C70</f>
        <v/>
      </c>
      <c r="E70" s="22">
        <f>IFERROR(D70/ABS(C70),0)</f>
        <v/>
      </c>
    </row>
    <row r="71">
      <c r="A71" s="21" t="inlineStr">
        <is>
          <t>Direct Superannuation - VID</t>
        </is>
      </c>
      <c r="B71" s="9">
        <f>'This Year'!N71</f>
        <v/>
      </c>
      <c r="C71" s="9">
        <f>'Last Year'!N71</f>
        <v/>
      </c>
      <c r="D71" s="9">
        <f>B71-C71</f>
        <v/>
      </c>
      <c r="E71" s="22">
        <f>IFERROR(D71/ABS(C71),0)</f>
        <v/>
      </c>
    </row>
    <row r="72">
      <c r="A72" s="21" t="inlineStr">
        <is>
          <t>Direct Superannuation-INTEGRATION</t>
        </is>
      </c>
      <c r="B72" s="9">
        <f>'This Year'!N72</f>
        <v/>
      </c>
      <c r="C72" s="9">
        <f>'Last Year'!N72</f>
        <v/>
      </c>
      <c r="D72" s="9">
        <f>B72-C72</f>
        <v/>
      </c>
      <c r="E72" s="22">
        <f>IFERROR(D72/ABS(C72),0)</f>
        <v/>
      </c>
    </row>
    <row r="73">
      <c r="A73" s="21" t="inlineStr">
        <is>
          <t>Direct Travel - ADMIN</t>
        </is>
      </c>
      <c r="B73" s="9">
        <f>'This Year'!N73</f>
        <v/>
      </c>
      <c r="C73" s="9">
        <f>'Last Year'!N73</f>
        <v/>
      </c>
      <c r="D73" s="9">
        <f>B73-C73</f>
        <v/>
      </c>
      <c r="E73" s="22">
        <f>IFERROR(D73/ABS(C73),0)</f>
        <v/>
      </c>
    </row>
    <row r="74">
      <c r="A74" s="21" t="inlineStr">
        <is>
          <t>Direct Travel - CONS</t>
        </is>
      </c>
      <c r="B74" s="9">
        <f>'This Year'!N74</f>
        <v/>
      </c>
      <c r="C74" s="9">
        <f>'Last Year'!N74</f>
        <v/>
      </c>
      <c r="D74" s="9">
        <f>B74-C74</f>
        <v/>
      </c>
      <c r="E74" s="22">
        <f>IFERROR(D74/ABS(C74),0)</f>
        <v/>
      </c>
    </row>
    <row r="75">
      <c r="A75" s="21" t="inlineStr">
        <is>
          <t>Direct Travel - INTEGRATION</t>
        </is>
      </c>
      <c r="B75" s="9">
        <f>'This Year'!N75</f>
        <v/>
      </c>
      <c r="C75" s="9">
        <f>'Last Year'!N75</f>
        <v/>
      </c>
      <c r="D75" s="9">
        <f>B75-C75</f>
        <v/>
      </c>
      <c r="E75" s="22">
        <f>IFERROR(D75/ABS(C75),0)</f>
        <v/>
      </c>
    </row>
    <row r="76">
      <c r="A76" s="21" t="inlineStr">
        <is>
          <t>Direct Travel - ONS</t>
        </is>
      </c>
      <c r="B76" s="9">
        <f>'This Year'!N76</f>
        <v/>
      </c>
      <c r="C76" s="9">
        <f>'Last Year'!N76</f>
        <v/>
      </c>
      <c r="D76" s="9">
        <f>B76-C76</f>
        <v/>
      </c>
      <c r="E76" s="22">
        <f>IFERROR(D76/ABS(C76),0)</f>
        <v/>
      </c>
    </row>
    <row r="77">
      <c r="A77" s="21" t="inlineStr">
        <is>
          <t>Direct Travel - PRD</t>
        </is>
      </c>
      <c r="B77" s="9">
        <f>'This Year'!N77</f>
        <v/>
      </c>
      <c r="C77" s="9">
        <f>'Last Year'!N77</f>
        <v/>
      </c>
      <c r="D77" s="9">
        <f>B77-C77</f>
        <v/>
      </c>
      <c r="E77" s="22">
        <f>IFERROR(D77/ABS(C77),0)</f>
        <v/>
      </c>
    </row>
    <row r="78">
      <c r="A78" s="21" t="inlineStr">
        <is>
          <t>Direct Travel - VID</t>
        </is>
      </c>
      <c r="B78" s="9">
        <f>'This Year'!N78</f>
        <v/>
      </c>
      <c r="C78" s="9">
        <f>'Last Year'!N78</f>
        <v/>
      </c>
      <c r="D78" s="9">
        <f>B78-C78</f>
        <v/>
      </c>
      <c r="E78" s="22">
        <f>IFERROR(D78/ABS(C78),0)</f>
        <v/>
      </c>
    </row>
    <row r="79">
      <c r="A79" s="21" t="inlineStr">
        <is>
          <t>Direct Wages - CONS</t>
        </is>
      </c>
      <c r="B79" s="9">
        <f>'This Year'!N79</f>
        <v/>
      </c>
      <c r="C79" s="9">
        <f>'Last Year'!N79</f>
        <v/>
      </c>
      <c r="D79" s="9">
        <f>B79-C79</f>
        <v/>
      </c>
      <c r="E79" s="22">
        <f>IFERROR(D79/ABS(C79),0)</f>
        <v/>
      </c>
    </row>
    <row r="80">
      <c r="A80" s="21" t="inlineStr">
        <is>
          <t>Direct Wages - INTEGRATION</t>
        </is>
      </c>
      <c r="B80" s="9">
        <f>'This Year'!N80</f>
        <v/>
      </c>
      <c r="C80" s="9">
        <f>'Last Year'!N80</f>
        <v/>
      </c>
      <c r="D80" s="9">
        <f>B80-C80</f>
        <v/>
      </c>
      <c r="E80" s="22">
        <f>IFERROR(D80/ABS(C80),0)</f>
        <v/>
      </c>
    </row>
    <row r="81">
      <c r="A81" s="21" t="inlineStr">
        <is>
          <t>Direct Wages - ONS</t>
        </is>
      </c>
      <c r="B81" s="9">
        <f>'This Year'!N81</f>
        <v/>
      </c>
      <c r="C81" s="9">
        <f>'Last Year'!N81</f>
        <v/>
      </c>
      <c r="D81" s="9">
        <f>B81-C81</f>
        <v/>
      </c>
      <c r="E81" s="22">
        <f>IFERROR(D81/ABS(C81),0)</f>
        <v/>
      </c>
    </row>
    <row r="82">
      <c r="A82" s="21" t="inlineStr">
        <is>
          <t>Direct Wages - PRD</t>
        </is>
      </c>
      <c r="B82" s="9">
        <f>'This Year'!N82</f>
        <v/>
      </c>
      <c r="C82" s="9">
        <f>'Last Year'!N82</f>
        <v/>
      </c>
      <c r="D82" s="9">
        <f>B82-C82</f>
        <v/>
      </c>
      <c r="E82" s="22">
        <f>IFERROR(D82/ABS(C82),0)</f>
        <v/>
      </c>
    </row>
    <row r="83">
      <c r="A83" s="21" t="inlineStr">
        <is>
          <t>Direct Wages - VID</t>
        </is>
      </c>
      <c r="B83" s="9">
        <f>'This Year'!N83</f>
        <v/>
      </c>
      <c r="C83" s="9">
        <f>'Last Year'!N83</f>
        <v/>
      </c>
      <c r="D83" s="9">
        <f>B83-C83</f>
        <v/>
      </c>
      <c r="E83" s="22">
        <f>IFERROR(D83/ABS(C83),0)</f>
        <v/>
      </c>
    </row>
    <row r="84">
      <c r="A84" s="21" t="inlineStr">
        <is>
          <t>Direct Workers Comp - ADMIN</t>
        </is>
      </c>
      <c r="B84" s="9">
        <f>'This Year'!N84</f>
        <v/>
      </c>
      <c r="C84" s="9">
        <f>'Last Year'!N84</f>
        <v/>
      </c>
      <c r="D84" s="9">
        <f>B84-C84</f>
        <v/>
      </c>
      <c r="E84" s="22">
        <f>IFERROR(D84/ABS(C84),0)</f>
        <v/>
      </c>
    </row>
    <row r="85">
      <c r="A85" s="21" t="inlineStr">
        <is>
          <t>Direct Workers Comp - CONS</t>
        </is>
      </c>
      <c r="B85" s="9">
        <f>'This Year'!N85</f>
        <v/>
      </c>
      <c r="C85" s="9">
        <f>'Last Year'!N85</f>
        <v/>
      </c>
      <c r="D85" s="9">
        <f>B85-C85</f>
        <v/>
      </c>
      <c r="E85" s="22">
        <f>IFERROR(D85/ABS(C85),0)</f>
        <v/>
      </c>
    </row>
    <row r="86">
      <c r="A86" s="21" t="inlineStr">
        <is>
          <t>Direct Workers Comp - INTEGRATION</t>
        </is>
      </c>
      <c r="B86" s="9">
        <f>'This Year'!N86</f>
        <v/>
      </c>
      <c r="C86" s="9">
        <f>'Last Year'!N86</f>
        <v/>
      </c>
      <c r="D86" s="9">
        <f>B86-C86</f>
        <v/>
      </c>
      <c r="E86" s="22">
        <f>IFERROR(D86/ABS(C86),0)</f>
        <v/>
      </c>
    </row>
    <row r="87">
      <c r="A87" s="21" t="inlineStr">
        <is>
          <t>Direct Workers Comp - ONS</t>
        </is>
      </c>
      <c r="B87" s="9">
        <f>'This Year'!N87</f>
        <v/>
      </c>
      <c r="C87" s="9">
        <f>'Last Year'!N87</f>
        <v/>
      </c>
      <c r="D87" s="9">
        <f>B87-C87</f>
        <v/>
      </c>
      <c r="E87" s="22">
        <f>IFERROR(D87/ABS(C87),0)</f>
        <v/>
      </c>
    </row>
    <row r="88">
      <c r="A88" s="21" t="inlineStr">
        <is>
          <t>Direct Workers Comp - PRD</t>
        </is>
      </c>
      <c r="B88" s="9">
        <f>'This Year'!N88</f>
        <v/>
      </c>
      <c r="C88" s="9">
        <f>'Last Year'!N88</f>
        <v/>
      </c>
      <c r="D88" s="9">
        <f>B88-C88</f>
        <v/>
      </c>
      <c r="E88" s="22">
        <f>IFERROR(D88/ABS(C88),0)</f>
        <v/>
      </c>
    </row>
    <row r="89">
      <c r="A89" s="21" t="inlineStr">
        <is>
          <t>Direct Workers Comp - VID</t>
        </is>
      </c>
      <c r="B89" s="9">
        <f>'This Year'!N89</f>
        <v/>
      </c>
      <c r="C89" s="9">
        <f>'Last Year'!N89</f>
        <v/>
      </c>
      <c r="D89" s="9">
        <f>B89-C89</f>
        <v/>
      </c>
      <c r="E89" s="22">
        <f>IFERROR(D89/ABS(C89),0)</f>
        <v/>
      </c>
    </row>
    <row r="90">
      <c r="A90" s="21" t="inlineStr">
        <is>
          <t>Discounts Given</t>
        </is>
      </c>
      <c r="B90" s="9">
        <f>'This Year'!N90</f>
        <v/>
      </c>
      <c r="C90" s="9">
        <f>'Last Year'!N90</f>
        <v/>
      </c>
      <c r="D90" s="9">
        <f>B90-C90</f>
        <v/>
      </c>
      <c r="E90" s="22">
        <f>IFERROR(D90/ABS(C90),0)</f>
        <v/>
      </c>
    </row>
    <row r="91">
      <c r="A91" s="21" t="inlineStr">
        <is>
          <t>Equipment - Hires</t>
        </is>
      </c>
      <c r="B91" s="9">
        <f>'This Year'!N91</f>
        <v/>
      </c>
      <c r="C91" s="9">
        <f>'Last Year'!N91</f>
        <v/>
      </c>
      <c r="D91" s="9">
        <f>B91-C91</f>
        <v/>
      </c>
      <c r="E91" s="22">
        <f>IFERROR(D91/ABS(C91),0)</f>
        <v/>
      </c>
    </row>
    <row r="92">
      <c r="A92" s="21" t="inlineStr">
        <is>
          <t>Equipment - Purchase</t>
        </is>
      </c>
      <c r="B92" s="9">
        <f>'This Year'!N92</f>
        <v/>
      </c>
      <c r="C92" s="9">
        <f>'Last Year'!N92</f>
        <v/>
      </c>
      <c r="D92" s="9">
        <f>B92-C92</f>
        <v/>
      </c>
      <c r="E92" s="22">
        <f>IFERROR(D92/ABS(C92),0)</f>
        <v/>
      </c>
    </row>
    <row r="93">
      <c r="A93" s="21" t="inlineStr">
        <is>
          <t>Equipment -Maintenance Support</t>
        </is>
      </c>
      <c r="B93" s="9">
        <f>'This Year'!N93</f>
        <v/>
      </c>
      <c r="C93" s="9">
        <f>'Last Year'!N93</f>
        <v/>
      </c>
      <c r="D93" s="9">
        <f>B93-C93</f>
        <v/>
      </c>
      <c r="E93" s="22">
        <f>IFERROR(D93/ABS(C93),0)</f>
        <v/>
      </c>
    </row>
    <row r="94">
      <c r="A94" s="21" t="inlineStr">
        <is>
          <t>Service - hires</t>
        </is>
      </c>
      <c r="B94" s="9">
        <f>'This Year'!N94</f>
        <v/>
      </c>
      <c r="C94" s="9">
        <f>'Last Year'!N94</f>
        <v/>
      </c>
      <c r="D94" s="9">
        <f>B94-C94</f>
        <v/>
      </c>
      <c r="E94" s="22">
        <f>IFERROR(D94/ABS(C94),0)</f>
        <v/>
      </c>
    </row>
    <row r="95">
      <c r="A95" s="21" t="inlineStr">
        <is>
          <t>Stamp Duty</t>
        </is>
      </c>
      <c r="B95" s="9">
        <f>'This Year'!N95</f>
        <v/>
      </c>
      <c r="C95" s="9">
        <f>'Last Year'!N95</f>
        <v/>
      </c>
      <c r="D95" s="9">
        <f>B95-C95</f>
        <v/>
      </c>
      <c r="E95" s="22">
        <f>IFERROR(D95/ABS(C95),0)</f>
        <v/>
      </c>
    </row>
    <row r="96">
      <c r="A96" s="21" t="inlineStr">
        <is>
          <t>Sub-Contract Labour - ADMIN</t>
        </is>
      </c>
      <c r="B96" s="9">
        <f>'This Year'!N96</f>
        <v/>
      </c>
      <c r="C96" s="9">
        <f>'Last Year'!N96</f>
        <v/>
      </c>
      <c r="D96" s="9">
        <f>B96-C96</f>
        <v/>
      </c>
      <c r="E96" s="22">
        <f>IFERROR(D96/ABS(C96),0)</f>
        <v/>
      </c>
    </row>
    <row r="97">
      <c r="A97" s="21" t="inlineStr">
        <is>
          <t>Sub-Contract Labour - CONS</t>
        </is>
      </c>
      <c r="B97" s="9">
        <f>'This Year'!N97</f>
        <v/>
      </c>
      <c r="C97" s="9">
        <f>'Last Year'!N97</f>
        <v/>
      </c>
      <c r="D97" s="9">
        <f>B97-C97</f>
        <v/>
      </c>
      <c r="E97" s="22">
        <f>IFERROR(D97/ABS(C97),0)</f>
        <v/>
      </c>
    </row>
    <row r="98">
      <c r="A98" s="21" t="inlineStr">
        <is>
          <t>Sub-Contract Labour - INTEGRATION</t>
        </is>
      </c>
      <c r="B98" s="9">
        <f>'This Year'!N98</f>
        <v/>
      </c>
      <c r="C98" s="9">
        <f>'Last Year'!N98</f>
        <v/>
      </c>
      <c r="D98" s="9">
        <f>B98-C98</f>
        <v/>
      </c>
      <c r="E98" s="22">
        <f>IFERROR(D98/ABS(C98),0)</f>
        <v/>
      </c>
    </row>
    <row r="99">
      <c r="A99" s="21" t="inlineStr">
        <is>
          <t>Sub-Contract Labour - ONS</t>
        </is>
      </c>
      <c r="B99" s="9">
        <f>'This Year'!N99</f>
        <v/>
      </c>
      <c r="C99" s="9">
        <f>'Last Year'!N99</f>
        <v/>
      </c>
      <c r="D99" s="9">
        <f>B99-C99</f>
        <v/>
      </c>
      <c r="E99" s="22">
        <f>IFERROR(D99/ABS(C99),0)</f>
        <v/>
      </c>
    </row>
    <row r="100">
      <c r="A100" s="21" t="inlineStr">
        <is>
          <t>Sub-Contract Labour - PRD</t>
        </is>
      </c>
      <c r="B100" s="9">
        <f>'This Year'!N100</f>
        <v/>
      </c>
      <c r="C100" s="9">
        <f>'Last Year'!N100</f>
        <v/>
      </c>
      <c r="D100" s="9">
        <f>B100-C100</f>
        <v/>
      </c>
      <c r="E100" s="22">
        <f>IFERROR(D100/ABS(C100),0)</f>
        <v/>
      </c>
    </row>
    <row r="101">
      <c r="A101" s="21" t="inlineStr">
        <is>
          <t>Sub-Contract Labour - VID</t>
        </is>
      </c>
      <c r="B101" s="9">
        <f>'This Year'!N101</f>
        <v/>
      </c>
      <c r="C101" s="9">
        <f>'Last Year'!N101</f>
        <v/>
      </c>
      <c r="D101" s="9">
        <f>B101-C101</f>
        <v/>
      </c>
      <c r="E101" s="22">
        <f>IFERROR(D101/ABS(C101),0)</f>
        <v/>
      </c>
    </row>
    <row r="102">
      <c r="A102" s="21" t="inlineStr">
        <is>
          <t>Subscriptions &amp; Licences - Expense</t>
        </is>
      </c>
      <c r="B102" s="9">
        <f>'This Year'!N102</f>
        <v/>
      </c>
      <c r="C102" s="9">
        <f>'Last Year'!N102</f>
        <v/>
      </c>
      <c r="D102" s="9">
        <f>B102-C102</f>
        <v/>
      </c>
      <c r="E102" s="22">
        <f>IFERROR(D102/ABS(C102),0)</f>
        <v/>
      </c>
    </row>
    <row r="103">
      <c r="A103" s="21" t="inlineStr">
        <is>
          <t>Supplier Per Diems - ADMIN</t>
        </is>
      </c>
      <c r="B103" s="9">
        <f>'This Year'!N103</f>
        <v/>
      </c>
      <c r="C103" s="9">
        <f>'Last Year'!N103</f>
        <v/>
      </c>
      <c r="D103" s="9">
        <f>B103-C103</f>
        <v/>
      </c>
      <c r="E103" s="22">
        <f>IFERROR(D103/ABS(C103),0)</f>
        <v/>
      </c>
    </row>
    <row r="104">
      <c r="A104" s="21" t="inlineStr">
        <is>
          <t>Supplier Per Diems - CONS</t>
        </is>
      </c>
      <c r="B104" s="9">
        <f>'This Year'!N104</f>
        <v/>
      </c>
      <c r="C104" s="9">
        <f>'Last Year'!N104</f>
        <v/>
      </c>
      <c r="D104" s="9">
        <f>B104-C104</f>
        <v/>
      </c>
      <c r="E104" s="22">
        <f>IFERROR(D104/ABS(C104),0)</f>
        <v/>
      </c>
    </row>
    <row r="105">
      <c r="A105" s="21" t="inlineStr">
        <is>
          <t>Supplier Per Diems - INTEGRATION</t>
        </is>
      </c>
      <c r="B105" s="9">
        <f>'This Year'!N105</f>
        <v/>
      </c>
      <c r="C105" s="9">
        <f>'Last Year'!N105</f>
        <v/>
      </c>
      <c r="D105" s="9">
        <f>B105-C105</f>
        <v/>
      </c>
      <c r="E105" s="22">
        <f>IFERROR(D105/ABS(C105),0)</f>
        <v/>
      </c>
    </row>
    <row r="106">
      <c r="A106" s="21" t="inlineStr">
        <is>
          <t>Supplier Per Diems - ONS</t>
        </is>
      </c>
      <c r="B106" s="9">
        <f>'This Year'!N106</f>
        <v/>
      </c>
      <c r="C106" s="9">
        <f>'Last Year'!N106</f>
        <v/>
      </c>
      <c r="D106" s="9">
        <f>B106-C106</f>
        <v/>
      </c>
      <c r="E106" s="22">
        <f>IFERROR(D106/ABS(C106),0)</f>
        <v/>
      </c>
    </row>
    <row r="107">
      <c r="A107" s="21" t="inlineStr">
        <is>
          <t>Supplier Per Diems - PRD</t>
        </is>
      </c>
      <c r="B107" s="9">
        <f>'This Year'!N107</f>
        <v/>
      </c>
      <c r="C107" s="9">
        <f>'Last Year'!N107</f>
        <v/>
      </c>
      <c r="D107" s="9">
        <f>B107-C107</f>
        <v/>
      </c>
      <c r="E107" s="22">
        <f>IFERROR(D107/ABS(C107),0)</f>
        <v/>
      </c>
    </row>
    <row r="108">
      <c r="A108" s="21" t="inlineStr">
        <is>
          <t>Supplier Per Diems - VID</t>
        </is>
      </c>
      <c r="B108" s="9">
        <f>'This Year'!N108</f>
        <v/>
      </c>
      <c r="C108" s="9">
        <f>'Last Year'!N108</f>
        <v/>
      </c>
      <c r="D108" s="9">
        <f>B108-C108</f>
        <v/>
      </c>
      <c r="E108" s="22">
        <f>IFERROR(D108/ABS(C108),0)</f>
        <v/>
      </c>
    </row>
    <row r="109">
      <c r="A109" s="23" t="inlineStr">
        <is>
          <t>Total Cost of Sales</t>
        </is>
      </c>
      <c r="B109" s="12">
        <f>'This Year'!N109</f>
        <v/>
      </c>
      <c r="C109" s="12">
        <f>'Last Year'!N109</f>
        <v/>
      </c>
      <c r="D109" s="12">
        <f>B109-C109</f>
        <v/>
      </c>
      <c r="E109" s="13">
        <f>IFERROR(D109/ABS(C109),0)</f>
        <v/>
      </c>
    </row>
    <row r="111">
      <c r="A111" s="20" t="inlineStr">
        <is>
          <t>GROSS PROFIT</t>
        </is>
      </c>
      <c r="B111" s="12">
        <f>'This Year'!N111</f>
        <v/>
      </c>
      <c r="C111" s="12">
        <f>'Last Year'!N111</f>
        <v/>
      </c>
      <c r="D111" s="12">
        <f>B111-C111</f>
        <v/>
      </c>
      <c r="E111" s="13">
        <f>IFERROR(D111/ABS(C111),0)</f>
        <v/>
      </c>
    </row>
    <row r="112">
      <c r="A112" s="23" t="inlineStr">
        <is>
          <t>Gross Profit %</t>
        </is>
      </c>
      <c r="B112" s="13">
        <f>'This Year'!N112</f>
        <v/>
      </c>
      <c r="C112" s="13">
        <f>'Last Year'!N112</f>
        <v/>
      </c>
      <c r="D112" s="13">
        <f>B112-C112</f>
        <v/>
      </c>
      <c r="E112" s="13" t="inlineStr"/>
    </row>
    <row r="114">
      <c r="A114" s="20" t="inlineStr">
        <is>
          <t>OTHER INCOME</t>
        </is>
      </c>
      <c r="B114" s="12">
        <f>'This Year'!N114</f>
        <v/>
      </c>
      <c r="C114" s="12">
        <f>'Last Year'!N114</f>
        <v/>
      </c>
      <c r="D114" s="12">
        <f>B114-C114</f>
        <v/>
      </c>
      <c r="E114" s="13">
        <f>IFERROR(D114/ABS(C114),0)</f>
        <v/>
      </c>
    </row>
    <row r="115">
      <c r="A115" s="21" t="inlineStr">
        <is>
          <t>Cash Flow Boost</t>
        </is>
      </c>
      <c r="B115" s="9">
        <f>'This Year'!N115</f>
        <v/>
      </c>
      <c r="C115" s="9">
        <f>'Last Year'!N115</f>
        <v/>
      </c>
      <c r="D115" s="9">
        <f>B115-C115</f>
        <v/>
      </c>
      <c r="E115" s="22">
        <f>IFERROR(D115/ABS(C115),0)</f>
        <v/>
      </c>
    </row>
    <row r="116">
      <c r="A116" s="21" t="inlineStr">
        <is>
          <t>Employee FBT Contribtution</t>
        </is>
      </c>
      <c r="B116" s="9">
        <f>'This Year'!N116</f>
        <v/>
      </c>
      <c r="C116" s="9">
        <f>'Last Year'!N116</f>
        <v/>
      </c>
      <c r="D116" s="9">
        <f>B116-C116</f>
        <v/>
      </c>
      <c r="E116" s="22">
        <f>IFERROR(D116/ABS(C116),0)</f>
        <v/>
      </c>
    </row>
    <row r="117">
      <c r="A117" s="21" t="inlineStr">
        <is>
          <t>Gain on lease termination</t>
        </is>
      </c>
      <c r="B117" s="9">
        <f>'This Year'!N117</f>
        <v/>
      </c>
      <c r="C117" s="9">
        <f>'Last Year'!N117</f>
        <v/>
      </c>
      <c r="D117" s="9">
        <f>B117-C117</f>
        <v/>
      </c>
      <c r="E117" s="22">
        <f>IFERROR(D117/ABS(C117),0)</f>
        <v/>
      </c>
    </row>
    <row r="118">
      <c r="A118" s="21" t="inlineStr">
        <is>
          <t>Income Other</t>
        </is>
      </c>
      <c r="B118" s="9">
        <f>'This Year'!N118</f>
        <v/>
      </c>
      <c r="C118" s="9">
        <f>'Last Year'!N118</f>
        <v/>
      </c>
      <c r="D118" s="9">
        <f>B118-C118</f>
        <v/>
      </c>
      <c r="E118" s="22">
        <f>IFERROR(D118/ABS(C118),0)</f>
        <v/>
      </c>
    </row>
    <row r="119">
      <c r="A119" s="21" t="inlineStr">
        <is>
          <t>Interest Income</t>
        </is>
      </c>
      <c r="B119" s="9">
        <f>'This Year'!N119</f>
        <v/>
      </c>
      <c r="C119" s="9">
        <f>'Last Year'!N119</f>
        <v/>
      </c>
      <c r="D119" s="9">
        <f>B119-C119</f>
        <v/>
      </c>
      <c r="E119" s="22">
        <f>IFERROR(D119/ABS(C119),0)</f>
        <v/>
      </c>
    </row>
    <row r="120">
      <c r="A120" s="21" t="inlineStr">
        <is>
          <t>Interest Received</t>
        </is>
      </c>
      <c r="B120" s="9">
        <f>'This Year'!N120</f>
        <v/>
      </c>
      <c r="C120" s="9">
        <f>'Last Year'!N120</f>
        <v/>
      </c>
      <c r="D120" s="9">
        <f>B120-C120</f>
        <v/>
      </c>
      <c r="E120" s="22">
        <f>IFERROR(D120/ABS(C120),0)</f>
        <v/>
      </c>
    </row>
    <row r="121">
      <c r="A121" s="21" t="inlineStr">
        <is>
          <t>JobKeeper Subsidy</t>
        </is>
      </c>
      <c r="B121" s="9">
        <f>'This Year'!N121</f>
        <v/>
      </c>
      <c r="C121" s="9">
        <f>'Last Year'!N121</f>
        <v/>
      </c>
      <c r="D121" s="9">
        <f>B121-C121</f>
        <v/>
      </c>
      <c r="E121" s="22">
        <f>IFERROR(D121/ABS(C121),0)</f>
        <v/>
      </c>
    </row>
    <row r="122">
      <c r="A122" s="21" t="inlineStr">
        <is>
          <t>JobSaver Subsidy</t>
        </is>
      </c>
      <c r="B122" s="9">
        <f>'This Year'!N122</f>
        <v/>
      </c>
      <c r="C122" s="9">
        <f>'Last Year'!N122</f>
        <v/>
      </c>
      <c r="D122" s="9">
        <f>B122-C122</f>
        <v/>
      </c>
      <c r="E122" s="22">
        <f>IFERROR(D122/ABS(C122),0)</f>
        <v/>
      </c>
    </row>
    <row r="123">
      <c r="A123" s="21" t="inlineStr">
        <is>
          <t>Rental Income</t>
        </is>
      </c>
      <c r="B123" s="9">
        <f>'This Year'!N123</f>
        <v/>
      </c>
      <c r="C123" s="9">
        <f>'Last Year'!N123</f>
        <v/>
      </c>
      <c r="D123" s="9">
        <f>B123-C123</f>
        <v/>
      </c>
      <c r="E123" s="22">
        <f>IFERROR(D123/ABS(C123),0)</f>
        <v/>
      </c>
    </row>
    <row r="124">
      <c r="A124" s="23" t="inlineStr">
        <is>
          <t>Total Other Income</t>
        </is>
      </c>
      <c r="B124" s="12">
        <f>'This Year'!N124</f>
        <v/>
      </c>
      <c r="C124" s="12">
        <f>'Last Year'!N124</f>
        <v/>
      </c>
      <c r="D124" s="12">
        <f>B124-C124</f>
        <v/>
      </c>
      <c r="E124" s="13">
        <f>IFERROR(D124/ABS(C124),0)</f>
        <v/>
      </c>
    </row>
    <row r="126">
      <c r="A126" s="20" t="inlineStr">
        <is>
          <t>EXPENSES</t>
        </is>
      </c>
      <c r="B126" s="12">
        <f>'This Year'!N126</f>
        <v/>
      </c>
      <c r="C126" s="12">
        <f>'Last Year'!N126</f>
        <v/>
      </c>
      <c r="D126" s="12">
        <f>B126-C126</f>
        <v/>
      </c>
      <c r="E126" s="13">
        <f>IFERROR(D126/ABS(C126),0)</f>
        <v/>
      </c>
    </row>
    <row r="127">
      <c r="A127" s="21" t="inlineStr">
        <is>
          <t>1300 Number</t>
        </is>
      </c>
      <c r="B127" s="9">
        <f>'This Year'!N127</f>
        <v/>
      </c>
      <c r="C127" s="9">
        <f>'Last Year'!N127</f>
        <v/>
      </c>
      <c r="D127" s="9">
        <f>B127-C127</f>
        <v/>
      </c>
      <c r="E127" s="22">
        <f>IFERROR(D127/ABS(C127),0)</f>
        <v/>
      </c>
    </row>
    <row r="128">
      <c r="A128" s="21" t="inlineStr">
        <is>
          <t>Accounting Fees</t>
        </is>
      </c>
      <c r="B128" s="9">
        <f>'This Year'!N128</f>
        <v/>
      </c>
      <c r="C128" s="9">
        <f>'Last Year'!N128</f>
        <v/>
      </c>
      <c r="D128" s="9">
        <f>B128-C128</f>
        <v/>
      </c>
      <c r="E128" s="22">
        <f>IFERROR(D128/ABS(C128),0)</f>
        <v/>
      </c>
    </row>
    <row r="129">
      <c r="A129" s="21" t="inlineStr">
        <is>
          <t>Advertising</t>
        </is>
      </c>
      <c r="B129" s="9">
        <f>'This Year'!N129</f>
        <v/>
      </c>
      <c r="C129" s="9">
        <f>'Last Year'!N129</f>
        <v/>
      </c>
      <c r="D129" s="9">
        <f>B129-C129</f>
        <v/>
      </c>
      <c r="E129" s="22">
        <f>IFERROR(D129/ABS(C129),0)</f>
        <v/>
      </c>
    </row>
    <row r="130">
      <c r="A130" s="21" t="inlineStr">
        <is>
          <t>Bad Debts</t>
        </is>
      </c>
      <c r="B130" s="9">
        <f>'This Year'!N130</f>
        <v/>
      </c>
      <c r="C130" s="9">
        <f>'Last Year'!N130</f>
        <v/>
      </c>
      <c r="D130" s="9">
        <f>B130-C130</f>
        <v/>
      </c>
      <c r="E130" s="22">
        <f>IFERROR(D130/ABS(C130),0)</f>
        <v/>
      </c>
    </row>
    <row r="131">
      <c r="A131" s="21" t="inlineStr">
        <is>
          <t>Bank Charges</t>
        </is>
      </c>
      <c r="B131" s="9">
        <f>'This Year'!N131</f>
        <v/>
      </c>
      <c r="C131" s="9">
        <f>'Last Year'!N131</f>
        <v/>
      </c>
      <c r="D131" s="9">
        <f>B131-C131</f>
        <v/>
      </c>
      <c r="E131" s="22">
        <f>IFERROR(D131/ABS(C131),0)</f>
        <v/>
      </c>
    </row>
    <row r="132">
      <c r="A132" s="21" t="inlineStr">
        <is>
          <t>Bank Revaluations</t>
        </is>
      </c>
      <c r="B132" s="9">
        <f>'This Year'!N132</f>
        <v/>
      </c>
      <c r="C132" s="9">
        <f>'Last Year'!N132</f>
        <v/>
      </c>
      <c r="D132" s="9">
        <f>B132-C132</f>
        <v/>
      </c>
      <c r="E132" s="22">
        <f>IFERROR(D132/ABS(C132),0)</f>
        <v/>
      </c>
    </row>
    <row r="133">
      <c r="A133" s="21" t="inlineStr">
        <is>
          <t>Business Advisory</t>
        </is>
      </c>
      <c r="B133" s="9">
        <f>'This Year'!N133</f>
        <v/>
      </c>
      <c r="C133" s="9">
        <f>'Last Year'!N133</f>
        <v/>
      </c>
      <c r="D133" s="9">
        <f>B133-C133</f>
        <v/>
      </c>
      <c r="E133" s="22">
        <f>IFERROR(D133/ABS(C133),0)</f>
        <v/>
      </c>
    </row>
    <row r="134">
      <c r="A134" s="21" t="inlineStr">
        <is>
          <t>Business Combined</t>
        </is>
      </c>
      <c r="B134" s="9">
        <f>'This Year'!N134</f>
        <v/>
      </c>
      <c r="C134" s="9">
        <f>'Last Year'!N134</f>
        <v/>
      </c>
      <c r="D134" s="9">
        <f>B134-C134</f>
        <v/>
      </c>
      <c r="E134" s="22">
        <f>IFERROR(D134/ABS(C134),0)</f>
        <v/>
      </c>
    </row>
    <row r="135">
      <c r="A135" s="21" t="inlineStr">
        <is>
          <t>Client Entertainment</t>
        </is>
      </c>
      <c r="B135" s="9">
        <f>'This Year'!N135</f>
        <v/>
      </c>
      <c r="C135" s="9">
        <f>'Last Year'!N135</f>
        <v/>
      </c>
      <c r="D135" s="9">
        <f>B135-C135</f>
        <v/>
      </c>
      <c r="E135" s="22">
        <f>IFERROR(D135/ABS(C135),0)</f>
        <v/>
      </c>
    </row>
    <row r="136">
      <c r="A136" s="21" t="inlineStr">
        <is>
          <t>Credit Card Fees Paid</t>
        </is>
      </c>
      <c r="B136" s="9">
        <f>'This Year'!N136</f>
        <v/>
      </c>
      <c r="C136" s="9">
        <f>'Last Year'!N136</f>
        <v/>
      </c>
      <c r="D136" s="9">
        <f>B136-C136</f>
        <v/>
      </c>
      <c r="E136" s="22">
        <f>IFERROR(D136/ABS(C136),0)</f>
        <v/>
      </c>
    </row>
    <row r="137">
      <c r="A137" s="21" t="inlineStr">
        <is>
          <t>Custodian Vaults</t>
        </is>
      </c>
      <c r="B137" s="9">
        <f>'This Year'!N137</f>
        <v/>
      </c>
      <c r="C137" s="9">
        <f>'Last Year'!N137</f>
        <v/>
      </c>
      <c r="D137" s="9">
        <f>B137-C137</f>
        <v/>
      </c>
      <c r="E137" s="22">
        <f>IFERROR(D137/ABS(C137),0)</f>
        <v/>
      </c>
    </row>
    <row r="138">
      <c r="A138" s="21" t="inlineStr">
        <is>
          <t>Depreciation</t>
        </is>
      </c>
      <c r="B138" s="9">
        <f>'This Year'!N138</f>
        <v/>
      </c>
      <c r="C138" s="9">
        <f>'Last Year'!N138</f>
        <v/>
      </c>
      <c r="D138" s="9">
        <f>B138-C138</f>
        <v/>
      </c>
      <c r="E138" s="22">
        <f>IFERROR(D138/ABS(C138),0)</f>
        <v/>
      </c>
    </row>
    <row r="139">
      <c r="A139" s="21" t="inlineStr">
        <is>
          <t>Depreciation - ROU</t>
        </is>
      </c>
      <c r="B139" s="9">
        <f>'This Year'!N139</f>
        <v/>
      </c>
      <c r="C139" s="9">
        <f>'Last Year'!N139</f>
        <v/>
      </c>
      <c r="D139" s="9">
        <f>B139-C139</f>
        <v/>
      </c>
      <c r="E139" s="22">
        <f>IFERROR(D139/ABS(C139),0)</f>
        <v/>
      </c>
    </row>
    <row r="140">
      <c r="A140" s="21" t="inlineStr">
        <is>
          <t>Discounts Taken</t>
        </is>
      </c>
      <c r="B140" s="9">
        <f>'This Year'!N140</f>
        <v/>
      </c>
      <c r="C140" s="9">
        <f>'Last Year'!N140</f>
        <v/>
      </c>
      <c r="D140" s="9">
        <f>B140-C140</f>
        <v/>
      </c>
      <c r="E140" s="22">
        <f>IFERROR(D140/ABS(C140),0)</f>
        <v/>
      </c>
    </row>
    <row r="141">
      <c r="A141" s="21" t="inlineStr">
        <is>
          <t>Disposal of fixed assets</t>
        </is>
      </c>
      <c r="B141" s="9">
        <f>'This Year'!N141</f>
        <v/>
      </c>
      <c r="C141" s="9">
        <f>'Last Year'!N141</f>
        <v/>
      </c>
      <c r="D141" s="9">
        <f>B141-C141</f>
        <v/>
      </c>
      <c r="E141" s="22">
        <f>IFERROR(D141/ABS(C141),0)</f>
        <v/>
      </c>
    </row>
    <row r="142">
      <c r="A142" s="21" t="inlineStr">
        <is>
          <t>Dividend paid [93000]</t>
        </is>
      </c>
      <c r="B142" s="9">
        <f>'This Year'!N142</f>
        <v/>
      </c>
      <c r="C142" s="9">
        <f>'Last Year'!N142</f>
        <v/>
      </c>
      <c r="D142" s="9">
        <f>B142-C142</f>
        <v/>
      </c>
      <c r="E142" s="22">
        <f>IFERROR(D142/ABS(C142),0)</f>
        <v/>
      </c>
    </row>
    <row r="143">
      <c r="A143" s="21" t="inlineStr">
        <is>
          <t>Donations / Charity</t>
        </is>
      </c>
      <c r="B143" s="9">
        <f>'This Year'!N143</f>
        <v/>
      </c>
      <c r="C143" s="9">
        <f>'Last Year'!N143</f>
        <v/>
      </c>
      <c r="D143" s="9">
        <f>B143-C143</f>
        <v/>
      </c>
      <c r="E143" s="22">
        <f>IFERROR(D143/ABS(C143),0)</f>
        <v/>
      </c>
    </row>
    <row r="144">
      <c r="A144" s="21" t="inlineStr">
        <is>
          <t>Dues &amp; Subscriptions</t>
        </is>
      </c>
      <c r="B144" s="9">
        <f>'This Year'!N144</f>
        <v/>
      </c>
      <c r="C144" s="9">
        <f>'Last Year'!N144</f>
        <v/>
      </c>
      <c r="D144" s="9">
        <f>B144-C144</f>
        <v/>
      </c>
      <c r="E144" s="22">
        <f>IFERROR(D144/ABS(C144),0)</f>
        <v/>
      </c>
    </row>
    <row r="145">
      <c r="A145" s="21" t="inlineStr">
        <is>
          <t>Electricity</t>
        </is>
      </c>
      <c r="B145" s="9">
        <f>'This Year'!N145</f>
        <v/>
      </c>
      <c r="C145" s="9">
        <f>'Last Year'!N145</f>
        <v/>
      </c>
      <c r="D145" s="9">
        <f>B145-C145</f>
        <v/>
      </c>
      <c r="E145" s="22">
        <f>IFERROR(D145/ABS(C145),0)</f>
        <v/>
      </c>
    </row>
    <row r="146">
      <c r="A146" s="21" t="inlineStr">
        <is>
          <t>Fax</t>
        </is>
      </c>
      <c r="B146" s="9">
        <f>'This Year'!N146</f>
        <v/>
      </c>
      <c r="C146" s="9">
        <f>'Last Year'!N146</f>
        <v/>
      </c>
      <c r="D146" s="9">
        <f>B146-C146</f>
        <v/>
      </c>
      <c r="E146" s="22">
        <f>IFERROR(D146/ABS(C146),0)</f>
        <v/>
      </c>
    </row>
    <row r="147">
      <c r="A147" s="21" t="inlineStr">
        <is>
          <t>Filing Fee</t>
        </is>
      </c>
      <c r="B147" s="9">
        <f>'This Year'!N147</f>
        <v/>
      </c>
      <c r="C147" s="9">
        <f>'Last Year'!N147</f>
        <v/>
      </c>
      <c r="D147" s="9">
        <f>B147-C147</f>
        <v/>
      </c>
      <c r="E147" s="22">
        <f>IFERROR(D147/ABS(C147),0)</f>
        <v/>
      </c>
    </row>
    <row r="148">
      <c r="A148" s="21" t="inlineStr">
        <is>
          <t>Foreign Currency Translation*</t>
        </is>
      </c>
      <c r="B148" s="9">
        <f>'This Year'!N148</f>
        <v/>
      </c>
      <c r="C148" s="9">
        <f>'Last Year'!N148</f>
        <v/>
      </c>
      <c r="D148" s="9">
        <f>B148-C148</f>
        <v/>
      </c>
      <c r="E148" s="22">
        <f>IFERROR(D148/ABS(C148),0)</f>
        <v/>
      </c>
    </row>
    <row r="149">
      <c r="A149" s="21" t="inlineStr">
        <is>
          <t>Freight Paid</t>
        </is>
      </c>
      <c r="B149" s="9">
        <f>'This Year'!N149</f>
        <v/>
      </c>
      <c r="C149" s="9">
        <f>'Last Year'!N149</f>
        <v/>
      </c>
      <c r="D149" s="9">
        <f>B149-C149</f>
        <v/>
      </c>
      <c r="E149" s="22">
        <f>IFERROR(D149/ABS(C149),0)</f>
        <v/>
      </c>
    </row>
    <row r="150">
      <c r="A150" s="21" t="inlineStr">
        <is>
          <t>Fringe Benefits Tax</t>
        </is>
      </c>
      <c r="B150" s="9">
        <f>'This Year'!N150</f>
        <v/>
      </c>
      <c r="C150" s="9">
        <f>'Last Year'!N150</f>
        <v/>
      </c>
      <c r="D150" s="9">
        <f>B150-C150</f>
        <v/>
      </c>
      <c r="E150" s="22">
        <f>IFERROR(D150/ABS(C150),0)</f>
        <v/>
      </c>
    </row>
    <row r="151">
      <c r="A151" s="21" t="inlineStr">
        <is>
          <t>IT Network Service &amp; Support</t>
        </is>
      </c>
      <c r="B151" s="9">
        <f>'This Year'!N151</f>
        <v/>
      </c>
      <c r="C151" s="9">
        <f>'Last Year'!N151</f>
        <v/>
      </c>
      <c r="D151" s="9">
        <f>B151-C151</f>
        <v/>
      </c>
      <c r="E151" s="22">
        <f>IFERROR(D151/ABS(C151),0)</f>
        <v/>
      </c>
    </row>
    <row r="152">
      <c r="A152" s="21" t="inlineStr">
        <is>
          <t>Income Tax Expense</t>
        </is>
      </c>
      <c r="B152" s="9">
        <f>'This Year'!N152</f>
        <v/>
      </c>
      <c r="C152" s="9">
        <f>'Last Year'!N152</f>
        <v/>
      </c>
      <c r="D152" s="9">
        <f>B152-C152</f>
        <v/>
      </c>
      <c r="E152" s="22">
        <f>IFERROR(D152/ABS(C152),0)</f>
        <v/>
      </c>
    </row>
    <row r="153">
      <c r="A153" s="21" t="inlineStr">
        <is>
          <t>Indirect Salaries - ADMIN</t>
        </is>
      </c>
      <c r="B153" s="9">
        <f>'This Year'!N153</f>
        <v/>
      </c>
      <c r="C153" s="9">
        <f>'Last Year'!N153</f>
        <v/>
      </c>
      <c r="D153" s="9">
        <f>B153-C153</f>
        <v/>
      </c>
      <c r="E153" s="22">
        <f>IFERROR(D153/ABS(C153),0)</f>
        <v/>
      </c>
    </row>
    <row r="154">
      <c r="A154" s="21" t="inlineStr">
        <is>
          <t>Indirect Salaries - CONS</t>
        </is>
      </c>
      <c r="B154" s="9">
        <f>'This Year'!N154</f>
        <v/>
      </c>
      <c r="C154" s="9">
        <f>'Last Year'!N154</f>
        <v/>
      </c>
      <c r="D154" s="9">
        <f>B154-C154</f>
        <v/>
      </c>
      <c r="E154" s="22">
        <f>IFERROR(D154/ABS(C154),0)</f>
        <v/>
      </c>
    </row>
    <row r="155">
      <c r="A155" s="21" t="inlineStr">
        <is>
          <t>Indirect Salaries - INTEGRATION</t>
        </is>
      </c>
      <c r="B155" s="9">
        <f>'This Year'!N155</f>
        <v/>
      </c>
      <c r="C155" s="9">
        <f>'Last Year'!N155</f>
        <v/>
      </c>
      <c r="D155" s="9">
        <f>B155-C155</f>
        <v/>
      </c>
      <c r="E155" s="22">
        <f>IFERROR(D155/ABS(C155),0)</f>
        <v/>
      </c>
    </row>
    <row r="156">
      <c r="A156" s="21" t="inlineStr">
        <is>
          <t>Indirect Salaries - ONS</t>
        </is>
      </c>
      <c r="B156" s="9">
        <f>'This Year'!N156</f>
        <v/>
      </c>
      <c r="C156" s="9">
        <f>'Last Year'!N156</f>
        <v/>
      </c>
      <c r="D156" s="9">
        <f>B156-C156</f>
        <v/>
      </c>
      <c r="E156" s="22">
        <f>IFERROR(D156/ABS(C156),0)</f>
        <v/>
      </c>
    </row>
    <row r="157">
      <c r="A157" s="21" t="inlineStr">
        <is>
          <t>Indirect Salaries - PRD</t>
        </is>
      </c>
      <c r="B157" s="9">
        <f>'This Year'!N157</f>
        <v/>
      </c>
      <c r="C157" s="9">
        <f>'Last Year'!N157</f>
        <v/>
      </c>
      <c r="D157" s="9">
        <f>B157-C157</f>
        <v/>
      </c>
      <c r="E157" s="22">
        <f>IFERROR(D157/ABS(C157),0)</f>
        <v/>
      </c>
    </row>
    <row r="158">
      <c r="A158" s="21" t="inlineStr">
        <is>
          <t>Indirect Salaries - VID</t>
        </is>
      </c>
      <c r="B158" s="9">
        <f>'This Year'!N158</f>
        <v/>
      </c>
      <c r="C158" s="9">
        <f>'Last Year'!N158</f>
        <v/>
      </c>
      <c r="D158" s="9">
        <f>B158-C158</f>
        <v/>
      </c>
      <c r="E158" s="22">
        <f>IFERROR(D158/ABS(C158),0)</f>
        <v/>
      </c>
    </row>
    <row r="159">
      <c r="A159" s="21" t="inlineStr">
        <is>
          <t>Indirect Wages - ADMIN</t>
        </is>
      </c>
      <c r="B159" s="9">
        <f>'This Year'!N159</f>
        <v/>
      </c>
      <c r="C159" s="9">
        <f>'Last Year'!N159</f>
        <v/>
      </c>
      <c r="D159" s="9">
        <f>B159-C159</f>
        <v/>
      </c>
      <c r="E159" s="22">
        <f>IFERROR(D159/ABS(C159),0)</f>
        <v/>
      </c>
    </row>
    <row r="160">
      <c r="A160" s="21" t="inlineStr">
        <is>
          <t>Indirect Wages - CONS</t>
        </is>
      </c>
      <c r="B160" s="9">
        <f>'This Year'!N160</f>
        <v/>
      </c>
      <c r="C160" s="9">
        <f>'Last Year'!N160</f>
        <v/>
      </c>
      <c r="D160" s="9">
        <f>B160-C160</f>
        <v/>
      </c>
      <c r="E160" s="22">
        <f>IFERROR(D160/ABS(C160),0)</f>
        <v/>
      </c>
    </row>
    <row r="161">
      <c r="A161" s="21" t="inlineStr">
        <is>
          <t>Indirect Wages - INTEGRATION</t>
        </is>
      </c>
      <c r="B161" s="9">
        <f>'This Year'!N161</f>
        <v/>
      </c>
      <c r="C161" s="9">
        <f>'Last Year'!N161</f>
        <v/>
      </c>
      <c r="D161" s="9">
        <f>B161-C161</f>
        <v/>
      </c>
      <c r="E161" s="22">
        <f>IFERROR(D161/ABS(C161),0)</f>
        <v/>
      </c>
    </row>
    <row r="162">
      <c r="A162" s="21" t="inlineStr">
        <is>
          <t>Indirect Wages - ONS</t>
        </is>
      </c>
      <c r="B162" s="9">
        <f>'This Year'!N162</f>
        <v/>
      </c>
      <c r="C162" s="9">
        <f>'Last Year'!N162</f>
        <v/>
      </c>
      <c r="D162" s="9">
        <f>B162-C162</f>
        <v/>
      </c>
      <c r="E162" s="22">
        <f>IFERROR(D162/ABS(C162),0)</f>
        <v/>
      </c>
    </row>
    <row r="163">
      <c r="A163" s="21" t="inlineStr">
        <is>
          <t>Indirect Wages - PRD</t>
        </is>
      </c>
      <c r="B163" s="9">
        <f>'This Year'!N163</f>
        <v/>
      </c>
      <c r="C163" s="9">
        <f>'Last Year'!N163</f>
        <v/>
      </c>
      <c r="D163" s="9">
        <f>B163-C163</f>
        <v/>
      </c>
      <c r="E163" s="22">
        <f>IFERROR(D163/ABS(C163),0)</f>
        <v/>
      </c>
    </row>
    <row r="164">
      <c r="A164" s="21" t="inlineStr">
        <is>
          <t>Indirect Wages - VID</t>
        </is>
      </c>
      <c r="B164" s="9">
        <f>'This Year'!N164</f>
        <v/>
      </c>
      <c r="C164" s="9">
        <f>'Last Year'!N164</f>
        <v/>
      </c>
      <c r="D164" s="9">
        <f>B164-C164</f>
        <v/>
      </c>
      <c r="E164" s="22">
        <f>IFERROR(D164/ABS(C164),0)</f>
        <v/>
      </c>
    </row>
    <row r="165">
      <c r="A165" s="21" t="inlineStr">
        <is>
          <t>Instant Asset Write Off</t>
        </is>
      </c>
      <c r="B165" s="9">
        <f>'This Year'!N165</f>
        <v/>
      </c>
      <c r="C165" s="9">
        <f>'Last Year'!N165</f>
        <v/>
      </c>
      <c r="D165" s="9">
        <f>B165-C165</f>
        <v/>
      </c>
      <c r="E165" s="22">
        <f>IFERROR(D165/ABS(C165),0)</f>
        <v/>
      </c>
    </row>
    <row r="166">
      <c r="A166" s="21" t="inlineStr">
        <is>
          <t>Insurance</t>
        </is>
      </c>
      <c r="B166" s="9">
        <f>'This Year'!N166</f>
        <v/>
      </c>
      <c r="C166" s="9">
        <f>'Last Year'!N166</f>
        <v/>
      </c>
      <c r="D166" s="9">
        <f>B166-C166</f>
        <v/>
      </c>
      <c r="E166" s="22">
        <f>IFERROR(D166/ABS(C166),0)</f>
        <v/>
      </c>
    </row>
    <row r="167">
      <c r="A167" s="21" t="inlineStr">
        <is>
          <t>Interest Expense</t>
        </is>
      </c>
      <c r="B167" s="9">
        <f>'This Year'!N167</f>
        <v/>
      </c>
      <c r="C167" s="9">
        <f>'Last Year'!N167</f>
        <v/>
      </c>
      <c r="D167" s="9">
        <f>B167-C167</f>
        <v/>
      </c>
      <c r="E167" s="22">
        <f>IFERROR(D167/ABS(C167),0)</f>
        <v/>
      </c>
    </row>
    <row r="168">
      <c r="A168" s="21" t="inlineStr">
        <is>
          <t>Internet</t>
        </is>
      </c>
      <c r="B168" s="9">
        <f>'This Year'!N168</f>
        <v/>
      </c>
      <c r="C168" s="9">
        <f>'Last Year'!N168</f>
        <v/>
      </c>
      <c r="D168" s="9">
        <f>B168-C168</f>
        <v/>
      </c>
      <c r="E168" s="22">
        <f>IFERROR(D168/ABS(C168),0)</f>
        <v/>
      </c>
    </row>
    <row r="169">
      <c r="A169" s="21" t="inlineStr">
        <is>
          <t>Leave expense (Annual)</t>
        </is>
      </c>
      <c r="B169" s="9">
        <f>'This Year'!N169</f>
        <v/>
      </c>
      <c r="C169" s="9">
        <f>'Last Year'!N169</f>
        <v/>
      </c>
      <c r="D169" s="9">
        <f>B169-C169</f>
        <v/>
      </c>
      <c r="E169" s="22">
        <f>IFERROR(D169/ABS(C169),0)</f>
        <v/>
      </c>
    </row>
    <row r="170">
      <c r="A170" s="21" t="inlineStr">
        <is>
          <t>Leave expense (Long Service)</t>
        </is>
      </c>
      <c r="B170" s="9">
        <f>'This Year'!N170</f>
        <v/>
      </c>
      <c r="C170" s="9">
        <f>'Last Year'!N170</f>
        <v/>
      </c>
      <c r="D170" s="9">
        <f>B170-C170</f>
        <v/>
      </c>
      <c r="E170" s="22">
        <f>IFERROR(D170/ABS(C170),0)</f>
        <v/>
      </c>
    </row>
    <row r="171">
      <c r="A171" s="21" t="inlineStr">
        <is>
          <t>Legal Fees</t>
        </is>
      </c>
      <c r="B171" s="9">
        <f>'This Year'!N171</f>
        <v/>
      </c>
      <c r="C171" s="9">
        <f>'Last Year'!N171</f>
        <v/>
      </c>
      <c r="D171" s="9">
        <f>B171-C171</f>
        <v/>
      </c>
      <c r="E171" s="22">
        <f>IFERROR(D171/ABS(C171),0)</f>
        <v/>
      </c>
    </row>
    <row r="172">
      <c r="A172" s="21" t="inlineStr">
        <is>
          <t>Mobile Phones</t>
        </is>
      </c>
      <c r="B172" s="9">
        <f>'This Year'!N172</f>
        <v/>
      </c>
      <c r="C172" s="9">
        <f>'Last Year'!N172</f>
        <v/>
      </c>
      <c r="D172" s="9">
        <f>B172-C172</f>
        <v/>
      </c>
      <c r="E172" s="22">
        <f>IFERROR(D172/ABS(C172),0)</f>
        <v/>
      </c>
    </row>
    <row r="173">
      <c r="A173" s="21" t="inlineStr">
        <is>
          <t>Office Cleaning</t>
        </is>
      </c>
      <c r="B173" s="9">
        <f>'This Year'!N173</f>
        <v/>
      </c>
      <c r="C173" s="9">
        <f>'Last Year'!N173</f>
        <v/>
      </c>
      <c r="D173" s="9">
        <f>B173-C173</f>
        <v/>
      </c>
      <c r="E173" s="22">
        <f>IFERROR(D173/ABS(C173),0)</f>
        <v/>
      </c>
    </row>
    <row r="174">
      <c r="A174" s="21" t="inlineStr">
        <is>
          <t>Office Phones</t>
        </is>
      </c>
      <c r="B174" s="9">
        <f>'This Year'!N174</f>
        <v/>
      </c>
      <c r="C174" s="9">
        <f>'Last Year'!N174</f>
        <v/>
      </c>
      <c r="D174" s="9">
        <f>B174-C174</f>
        <v/>
      </c>
      <c r="E174" s="22">
        <f>IFERROR(D174/ABS(C174),0)</f>
        <v/>
      </c>
    </row>
    <row r="175">
      <c r="A175" s="21" t="inlineStr">
        <is>
          <t>Office Rentals</t>
        </is>
      </c>
      <c r="B175" s="9">
        <f>'This Year'!N175</f>
        <v/>
      </c>
      <c r="C175" s="9">
        <f>'Last Year'!N175</f>
        <v/>
      </c>
      <c r="D175" s="9">
        <f>B175-C175</f>
        <v/>
      </c>
      <c r="E175" s="22">
        <f>IFERROR(D175/ABS(C175),0)</f>
        <v/>
      </c>
    </row>
    <row r="176">
      <c r="A176" s="21" t="inlineStr">
        <is>
          <t>Office Supplies</t>
        </is>
      </c>
      <c r="B176" s="9">
        <f>'This Year'!N176</f>
        <v/>
      </c>
      <c r="C176" s="9">
        <f>'Last Year'!N176</f>
        <v/>
      </c>
      <c r="D176" s="9">
        <f>B176-C176</f>
        <v/>
      </c>
      <c r="E176" s="22">
        <f>IFERROR(D176/ABS(C176),0)</f>
        <v/>
      </c>
    </row>
    <row r="177">
      <c r="A177" s="21" t="inlineStr">
        <is>
          <t>Office Supplies [61500]</t>
        </is>
      </c>
      <c r="B177" s="9">
        <f>'This Year'!N177</f>
        <v/>
      </c>
      <c r="C177" s="9">
        <f>'Last Year'!N177</f>
        <v/>
      </c>
      <c r="D177" s="9">
        <f>B177-C177</f>
        <v/>
      </c>
      <c r="E177" s="22">
        <f>IFERROR(D177/ABS(C177),0)</f>
        <v/>
      </c>
    </row>
    <row r="178">
      <c r="A178" s="21" t="inlineStr">
        <is>
          <t>Other Expenses [64900]</t>
        </is>
      </c>
      <c r="B178" s="9">
        <f>'This Year'!N178</f>
        <v/>
      </c>
      <c r="C178" s="9">
        <f>'Last Year'!N178</f>
        <v/>
      </c>
      <c r="D178" s="9">
        <f>B178-C178</f>
        <v/>
      </c>
      <c r="E178" s="22">
        <f>IFERROR(D178/ABS(C178),0)</f>
        <v/>
      </c>
    </row>
    <row r="179">
      <c r="A179" s="21" t="inlineStr">
        <is>
          <t>Other Insurance</t>
        </is>
      </c>
      <c r="B179" s="9">
        <f>'This Year'!N179</f>
        <v/>
      </c>
      <c r="C179" s="9">
        <f>'Last Year'!N179</f>
        <v/>
      </c>
      <c r="D179" s="9">
        <f>B179-C179</f>
        <v/>
      </c>
      <c r="E179" s="22">
        <f>IFERROR(D179/ABS(C179),0)</f>
        <v/>
      </c>
    </row>
    <row r="180">
      <c r="A180" s="21" t="inlineStr">
        <is>
          <t>Other Telco Expenses</t>
        </is>
      </c>
      <c r="B180" s="9">
        <f>'This Year'!N180</f>
        <v/>
      </c>
      <c r="C180" s="9">
        <f>'Last Year'!N180</f>
        <v/>
      </c>
      <c r="D180" s="9">
        <f>B180-C180</f>
        <v/>
      </c>
      <c r="E180" s="22">
        <f>IFERROR(D180/ABS(C180),0)</f>
        <v/>
      </c>
    </row>
    <row r="181">
      <c r="A181" s="21" t="inlineStr">
        <is>
          <t>Pager</t>
        </is>
      </c>
      <c r="B181" s="9">
        <f>'This Year'!N181</f>
        <v/>
      </c>
      <c r="C181" s="9">
        <f>'Last Year'!N181</f>
        <v/>
      </c>
      <c r="D181" s="9">
        <f>B181-C181</f>
        <v/>
      </c>
      <c r="E181" s="22">
        <f>IFERROR(D181/ABS(C181),0)</f>
        <v/>
      </c>
    </row>
    <row r="182">
      <c r="A182" s="21" t="inlineStr">
        <is>
          <t>Payroll Processing Fee</t>
        </is>
      </c>
      <c r="B182" s="9">
        <f>'This Year'!N182</f>
        <v/>
      </c>
      <c r="C182" s="9">
        <f>'Last Year'!N182</f>
        <v/>
      </c>
      <c r="D182" s="9">
        <f>B182-C182</f>
        <v/>
      </c>
      <c r="E182" s="22">
        <f>IFERROR(D182/ABS(C182),0)</f>
        <v/>
      </c>
    </row>
    <row r="183">
      <c r="A183" s="21" t="inlineStr">
        <is>
          <t>Payroll Tax</t>
        </is>
      </c>
      <c r="B183" s="9">
        <f>'This Year'!N183</f>
        <v/>
      </c>
      <c r="C183" s="9">
        <f>'Last Year'!N183</f>
        <v/>
      </c>
      <c r="D183" s="9">
        <f>B183-C183</f>
        <v/>
      </c>
      <c r="E183" s="22">
        <f>IFERROR(D183/ABS(C183),0)</f>
        <v/>
      </c>
    </row>
    <row r="184">
      <c r="A184" s="21" t="inlineStr">
        <is>
          <t>Postage</t>
        </is>
      </c>
      <c r="B184" s="9">
        <f>'This Year'!N184</f>
        <v/>
      </c>
      <c r="C184" s="9">
        <f>'Last Year'!N184</f>
        <v/>
      </c>
      <c r="D184" s="9">
        <f>B184-C184</f>
        <v/>
      </c>
      <c r="E184" s="22">
        <f>IFERROR(D184/ABS(C184),0)</f>
        <v/>
      </c>
    </row>
    <row r="185">
      <c r="A185" s="21" t="inlineStr">
        <is>
          <t>Printing</t>
        </is>
      </c>
      <c r="B185" s="9">
        <f>'This Year'!N185</f>
        <v/>
      </c>
      <c r="C185" s="9">
        <f>'Last Year'!N185</f>
        <v/>
      </c>
      <c r="D185" s="9">
        <f>B185-C185</f>
        <v/>
      </c>
      <c r="E185" s="22">
        <f>IFERROR(D185/ABS(C185),0)</f>
        <v/>
      </c>
    </row>
    <row r="186">
      <c r="A186" s="21" t="inlineStr">
        <is>
          <t>Professional Indemnity</t>
        </is>
      </c>
      <c r="B186" s="9">
        <f>'This Year'!N186</f>
        <v/>
      </c>
      <c r="C186" s="9">
        <f>'Last Year'!N186</f>
        <v/>
      </c>
      <c r="D186" s="9">
        <f>B186-C186</f>
        <v/>
      </c>
      <c r="E186" s="22">
        <f>IFERROR(D186/ABS(C186),0)</f>
        <v/>
      </c>
    </row>
    <row r="187">
      <c r="A187" s="21" t="inlineStr">
        <is>
          <t>Realised Currency Gains</t>
        </is>
      </c>
      <c r="B187" s="9">
        <f>'This Year'!N187</f>
        <v/>
      </c>
      <c r="C187" s="9">
        <f>'Last Year'!N187</f>
        <v/>
      </c>
      <c r="D187" s="9">
        <f>B187-C187</f>
        <v/>
      </c>
      <c r="E187" s="22">
        <f>IFERROR(D187/ABS(C187),0)</f>
        <v/>
      </c>
    </row>
    <row r="188">
      <c r="A188" s="21" t="inlineStr">
        <is>
          <t>Recruitment</t>
        </is>
      </c>
      <c r="B188" s="9">
        <f>'This Year'!N188</f>
        <v/>
      </c>
      <c r="C188" s="9">
        <f>'Last Year'!N188</f>
        <v/>
      </c>
      <c r="D188" s="9">
        <f>B188-C188</f>
        <v/>
      </c>
      <c r="E188" s="22">
        <f>IFERROR(D188/ABS(C188),0)</f>
        <v/>
      </c>
    </row>
    <row r="189">
      <c r="A189" s="21" t="inlineStr">
        <is>
          <t>Rent</t>
        </is>
      </c>
      <c r="B189" s="9">
        <f>'This Year'!N189</f>
        <v/>
      </c>
      <c r="C189" s="9">
        <f>'Last Year'!N189</f>
        <v/>
      </c>
      <c r="D189" s="9">
        <f>B189-C189</f>
        <v/>
      </c>
      <c r="E189" s="22">
        <f>IFERROR(D189/ABS(C189),0)</f>
        <v/>
      </c>
    </row>
    <row r="190">
      <c r="A190" s="21" t="inlineStr">
        <is>
          <t>Rental Outgoings</t>
        </is>
      </c>
      <c r="B190" s="9">
        <f>'This Year'!N190</f>
        <v/>
      </c>
      <c r="C190" s="9">
        <f>'Last Year'!N190</f>
        <v/>
      </c>
      <c r="D190" s="9">
        <f>B190-C190</f>
        <v/>
      </c>
      <c r="E190" s="22">
        <f>IFERROR(D190/ABS(C190),0)</f>
        <v/>
      </c>
    </row>
    <row r="191">
      <c r="A191" s="21" t="inlineStr">
        <is>
          <t>Repairs &amp; Maintenance</t>
        </is>
      </c>
      <c r="B191" s="9">
        <f>'This Year'!N191</f>
        <v/>
      </c>
      <c r="C191" s="9">
        <f>'Last Year'!N191</f>
        <v/>
      </c>
      <c r="D191" s="9">
        <f>B191-C191</f>
        <v/>
      </c>
      <c r="E191" s="22">
        <f>IFERROR(D191/ABS(C191),0)</f>
        <v/>
      </c>
    </row>
    <row r="192">
      <c r="A192" s="21" t="inlineStr">
        <is>
          <t>Replacements</t>
        </is>
      </c>
      <c r="B192" s="9">
        <f>'This Year'!N192</f>
        <v/>
      </c>
      <c r="C192" s="9">
        <f>'Last Year'!N192</f>
        <v/>
      </c>
      <c r="D192" s="9">
        <f>B192-C192</f>
        <v/>
      </c>
      <c r="E192" s="22">
        <f>IFERROR(D192/ABS(C192),0)</f>
        <v/>
      </c>
    </row>
    <row r="193">
      <c r="A193" s="21" t="inlineStr">
        <is>
          <t>SGC Penalties</t>
        </is>
      </c>
      <c r="B193" s="9">
        <f>'This Year'!N193</f>
        <v/>
      </c>
      <c r="C193" s="9">
        <f>'Last Year'!N193</f>
        <v/>
      </c>
      <c r="D193" s="9">
        <f>B193-C193</f>
        <v/>
      </c>
      <c r="E193" s="22">
        <f>IFERROR(D193/ABS(C193),0)</f>
        <v/>
      </c>
    </row>
    <row r="194">
      <c r="A194" s="21" t="inlineStr">
        <is>
          <t>Staff Amenities</t>
        </is>
      </c>
      <c r="B194" s="9">
        <f>'This Year'!N194</f>
        <v/>
      </c>
      <c r="C194" s="9">
        <f>'Last Year'!N194</f>
        <v/>
      </c>
      <c r="D194" s="9">
        <f>B194-C194</f>
        <v/>
      </c>
      <c r="E194" s="22">
        <f>IFERROR(D194/ABS(C194),0)</f>
        <v/>
      </c>
    </row>
    <row r="195">
      <c r="A195" s="21" t="inlineStr">
        <is>
          <t>Staff Entertainment</t>
        </is>
      </c>
      <c r="B195" s="9">
        <f>'This Year'!N195</f>
        <v/>
      </c>
      <c r="C195" s="9">
        <f>'Last Year'!N195</f>
        <v/>
      </c>
      <c r="D195" s="9">
        <f>B195-C195</f>
        <v/>
      </c>
      <c r="E195" s="22">
        <f>IFERROR(D195/ABS(C195),0)</f>
        <v/>
      </c>
    </row>
    <row r="196">
      <c r="A196" s="21" t="inlineStr">
        <is>
          <t>Stamp Duty (Indirect)</t>
        </is>
      </c>
      <c r="B196" s="9">
        <f>'This Year'!N196</f>
        <v/>
      </c>
      <c r="C196" s="9">
        <f>'Last Year'!N196</f>
        <v/>
      </c>
      <c r="D196" s="9">
        <f>B196-C196</f>
        <v/>
      </c>
      <c r="E196" s="22">
        <f>IFERROR(D196/ABS(C196),0)</f>
        <v/>
      </c>
    </row>
    <row r="197">
      <c r="A197" s="21" t="inlineStr">
        <is>
          <t>Storage Fees</t>
        </is>
      </c>
      <c r="B197" s="9">
        <f>'This Year'!N197</f>
        <v/>
      </c>
      <c r="C197" s="9">
        <f>'Last Year'!N197</f>
        <v/>
      </c>
      <c r="D197" s="9">
        <f>B197-C197</f>
        <v/>
      </c>
      <c r="E197" s="22">
        <f>IFERROR(D197/ABS(C197),0)</f>
        <v/>
      </c>
    </row>
    <row r="198">
      <c r="A198" s="21" t="inlineStr">
        <is>
          <t>Stripe Fees</t>
        </is>
      </c>
      <c r="B198" s="9">
        <f>'This Year'!N198</f>
        <v/>
      </c>
      <c r="C198" s="9">
        <f>'Last Year'!N198</f>
        <v/>
      </c>
      <c r="D198" s="9">
        <f>B198-C198</f>
        <v/>
      </c>
      <c r="E198" s="22">
        <f>IFERROR(D198/ABS(C198),0)</f>
        <v/>
      </c>
    </row>
    <row r="199">
      <c r="A199" s="21" t="inlineStr">
        <is>
          <t>Superannuation</t>
        </is>
      </c>
      <c r="B199" s="9">
        <f>'This Year'!N199</f>
        <v/>
      </c>
      <c r="C199" s="9">
        <f>'Last Year'!N199</f>
        <v/>
      </c>
      <c r="D199" s="9">
        <f>B199-C199</f>
        <v/>
      </c>
      <c r="E199" s="22">
        <f>IFERROR(D199/ABS(C199),0)</f>
        <v/>
      </c>
    </row>
    <row r="200">
      <c r="A200" s="21" t="inlineStr">
        <is>
          <t>Taxis/Parking</t>
        </is>
      </c>
      <c r="B200" s="9">
        <f>'This Year'!N200</f>
        <v/>
      </c>
      <c r="C200" s="9">
        <f>'Last Year'!N200</f>
        <v/>
      </c>
      <c r="D200" s="9">
        <f>B200-C200</f>
        <v/>
      </c>
      <c r="E200" s="22">
        <f>IFERROR(D200/ABS(C200),0)</f>
        <v/>
      </c>
    </row>
    <row r="201">
      <c r="A201" s="21" t="inlineStr">
        <is>
          <t>Training Material &amp; Courses</t>
        </is>
      </c>
      <c r="B201" s="9">
        <f>'This Year'!N201</f>
        <v/>
      </c>
      <c r="C201" s="9">
        <f>'Last Year'!N201</f>
        <v/>
      </c>
      <c r="D201" s="9">
        <f>B201-C201</f>
        <v/>
      </c>
      <c r="E201" s="22">
        <f>IFERROR(D201/ABS(C201),0)</f>
        <v/>
      </c>
    </row>
    <row r="202">
      <c r="A202" s="21" t="inlineStr">
        <is>
          <t>Travel &amp; Per Diems</t>
        </is>
      </c>
      <c r="B202" s="9">
        <f>'This Year'!N202</f>
        <v/>
      </c>
      <c r="C202" s="9">
        <f>'Last Year'!N202</f>
        <v/>
      </c>
      <c r="D202" s="9">
        <f>B202-C202</f>
        <v/>
      </c>
      <c r="E202" s="22">
        <f>IFERROR(D202/ABS(C202),0)</f>
        <v/>
      </c>
    </row>
    <row r="203">
      <c r="A203" s="21" t="inlineStr">
        <is>
          <t>Travel Insurance</t>
        </is>
      </c>
      <c r="B203" s="9">
        <f>'This Year'!N203</f>
        <v/>
      </c>
      <c r="C203" s="9">
        <f>'Last Year'!N203</f>
        <v/>
      </c>
      <c r="D203" s="9">
        <f>B203-C203</f>
        <v/>
      </c>
      <c r="E203" s="22">
        <f>IFERROR(D203/ABS(C203),0)</f>
        <v/>
      </c>
    </row>
    <row r="204">
      <c r="A204" s="21" t="inlineStr">
        <is>
          <t>Under/(Over) provision for tax</t>
        </is>
      </c>
      <c r="B204" s="9">
        <f>'This Year'!N204</f>
        <v/>
      </c>
      <c r="C204" s="9">
        <f>'Last Year'!N204</f>
        <v/>
      </c>
      <c r="D204" s="9">
        <f>B204-C204</f>
        <v/>
      </c>
      <c r="E204" s="22">
        <f>IFERROR(D204/ABS(C204),0)</f>
        <v/>
      </c>
    </row>
    <row r="205">
      <c r="A205" s="21" t="inlineStr">
        <is>
          <t>Unrealised Currency Gains</t>
        </is>
      </c>
      <c r="B205" s="9">
        <f>'This Year'!N205</f>
        <v/>
      </c>
      <c r="C205" s="9">
        <f>'Last Year'!N205</f>
        <v/>
      </c>
      <c r="D205" s="9">
        <f>B205-C205</f>
        <v/>
      </c>
      <c r="E205" s="22">
        <f>IFERROR(D205/ABS(C205),0)</f>
        <v/>
      </c>
    </row>
    <row r="206">
      <c r="A206" s="21" t="inlineStr">
        <is>
          <t>Workers' Compensation</t>
        </is>
      </c>
      <c r="B206" s="9">
        <f>'This Year'!N206</f>
        <v/>
      </c>
      <c r="C206" s="9">
        <f>'Last Year'!N206</f>
        <v/>
      </c>
      <c r="D206" s="9">
        <f>B206-C206</f>
        <v/>
      </c>
      <c r="E206" s="22">
        <f>IFERROR(D206/ABS(C206),0)</f>
        <v/>
      </c>
    </row>
    <row r="207">
      <c r="A207" s="23" t="inlineStr">
        <is>
          <t>Total Expenses</t>
        </is>
      </c>
      <c r="B207" s="12">
        <f>'This Year'!N207</f>
        <v/>
      </c>
      <c r="C207" s="12">
        <f>'Last Year'!N207</f>
        <v/>
      </c>
      <c r="D207" s="12">
        <f>B207-C207</f>
        <v/>
      </c>
      <c r="E207" s="13">
        <f>IFERROR(D207/ABS(C207),0)</f>
        <v/>
      </c>
    </row>
    <row r="209">
      <c r="A209" s="20" t="inlineStr">
        <is>
          <t>NET PROFIT</t>
        </is>
      </c>
      <c r="B209" s="12">
        <f>'This Year'!N209</f>
        <v/>
      </c>
      <c r="C209" s="12">
        <f>'Last Year'!N209</f>
        <v/>
      </c>
      <c r="D209" s="12">
        <f>B209-C209</f>
        <v/>
      </c>
      <c r="E209" s="13">
        <f>IFERROR(D209/ABS(C209),0)</f>
        <v/>
      </c>
    </row>
    <row r="210">
      <c r="A210" s="23" t="inlineStr">
        <is>
          <t>Net Profit %</t>
        </is>
      </c>
      <c r="B210" s="13">
        <f>'This Year'!N210</f>
        <v/>
      </c>
      <c r="C210" s="13">
        <f>'Last Year'!N210</f>
        <v/>
      </c>
      <c r="D210" s="13">
        <f>B210-C210</f>
        <v/>
      </c>
      <c r="E210" s="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By Division: FY27</t>
        </is>
      </c>
    </row>
    <row r="2">
      <c r="A2" s="2" t="inlineStr">
        <is>
          <t>Division is taken from each account's suffix (ONS, PRD, VID, CONS, INTEGRATION, ADMIN). Unallocated covers shared overheads that carry no division in the account name.</t>
        </is>
      </c>
    </row>
    <row r="3" ht="28" customHeight="1">
      <c r="A3" s="3" t="inlineStr">
        <is>
          <t>Division</t>
        </is>
      </c>
      <c r="B3" s="4" t="inlineStr">
        <is>
          <t>Jul-26</t>
        </is>
      </c>
      <c r="C3" s="4" t="inlineStr">
        <is>
          <t>Aug-26</t>
        </is>
      </c>
      <c r="D3" s="4" t="inlineStr">
        <is>
          <t>Sep-26</t>
        </is>
      </c>
      <c r="E3" s="4" t="inlineStr">
        <is>
          <t>Oct-26</t>
        </is>
      </c>
      <c r="F3" s="4" t="inlineStr">
        <is>
          <t>Nov-26</t>
        </is>
      </c>
      <c r="G3" s="4" t="inlineStr">
        <is>
          <t>Dec-26</t>
        </is>
      </c>
      <c r="H3" s="4" t="inlineStr">
        <is>
          <t>Jan-27</t>
        </is>
      </c>
      <c r="I3" s="4" t="inlineStr">
        <is>
          <t>Feb-27</t>
        </is>
      </c>
      <c r="J3" s="4" t="inlineStr">
        <is>
          <t>Mar-27</t>
        </is>
      </c>
      <c r="K3" s="4" t="inlineStr">
        <is>
          <t>Apr-27</t>
        </is>
      </c>
      <c r="L3" s="4" t="inlineStr">
        <is>
          <t>May-27</t>
        </is>
      </c>
      <c r="M3" s="4" t="inlineStr">
        <is>
          <t>Jun-27</t>
        </is>
      </c>
      <c r="N3" s="4" t="inlineStr">
        <is>
          <t>FY27 Total</t>
        </is>
      </c>
    </row>
    <row r="4">
      <c r="A4" s="7" t="inlineStr">
        <is>
          <t>INCOME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5" t="inlineStr">
        <is>
          <t>Onsite</t>
        </is>
      </c>
      <c r="B5" s="9">
        <f>SUMIFS(Actuals!$P:$P,Actuals!$B:$B,"Income",Actuals!$C:$C,$A5)</f>
        <v/>
      </c>
      <c r="C5" s="9">
        <f>SUMIFS(Actuals!$Q:$Q,Actuals!$B:$B,"Income",Actuals!$C:$C,$A5)</f>
        <v/>
      </c>
      <c r="D5" s="9">
        <f>SUMIFS(Actuals!$R:$R,Actuals!$B:$B,"Income",Actuals!$C:$C,$A5)</f>
        <v/>
      </c>
      <c r="E5" s="9">
        <f>SUMIFS(Actuals!$S:$S,Actuals!$B:$B,"Income",Actuals!$C:$C,$A5)</f>
        <v/>
      </c>
      <c r="F5" s="9">
        <f>SUMIFS(Actuals!$T:$T,Actuals!$B:$B,"Income",Actuals!$C:$C,$A5)</f>
        <v/>
      </c>
      <c r="G5" s="9">
        <f>SUMIFS(Actuals!$U:$U,Actuals!$B:$B,"Income",Actuals!$C:$C,$A5)</f>
        <v/>
      </c>
      <c r="H5" s="9">
        <f>SUMIFS(Actuals!$V:$V,Actuals!$B:$B,"Income",Actuals!$C:$C,$A5)</f>
        <v/>
      </c>
      <c r="I5" s="9">
        <f>SUMIFS(Actuals!$W:$W,Actuals!$B:$B,"Income",Actuals!$C:$C,$A5)</f>
        <v/>
      </c>
      <c r="J5" s="9">
        <f>SUMIFS(Actuals!$X:$X,Actuals!$B:$B,"Income",Actuals!$C:$C,$A5)</f>
        <v/>
      </c>
      <c r="K5" s="9">
        <f>SUMIFS(Actuals!$Y:$Y,Actuals!$B:$B,"Income",Actuals!$C:$C,$A5)</f>
        <v/>
      </c>
      <c r="L5" s="9">
        <f>SUMIFS(Actuals!$Z:$Z,Actuals!$B:$B,"Income",Actuals!$C:$C,$A5)</f>
        <v/>
      </c>
      <c r="M5" s="9">
        <f>SUMIFS(Actuals!$AA:$AA,Actuals!$B:$B,"Income",Actuals!$C:$C,$A5)</f>
        <v/>
      </c>
      <c r="N5" s="10">
        <f>SUM(B5:M5)</f>
        <v/>
      </c>
    </row>
    <row r="6">
      <c r="A6" s="5" t="inlineStr">
        <is>
          <t>Production</t>
        </is>
      </c>
      <c r="B6" s="9">
        <f>SUMIFS(Actuals!$P:$P,Actuals!$B:$B,"Income",Actuals!$C:$C,$A6)</f>
        <v/>
      </c>
      <c r="C6" s="9">
        <f>SUMIFS(Actuals!$Q:$Q,Actuals!$B:$B,"Income",Actuals!$C:$C,$A6)</f>
        <v/>
      </c>
      <c r="D6" s="9">
        <f>SUMIFS(Actuals!$R:$R,Actuals!$B:$B,"Income",Actuals!$C:$C,$A6)</f>
        <v/>
      </c>
      <c r="E6" s="9">
        <f>SUMIFS(Actuals!$S:$S,Actuals!$B:$B,"Income",Actuals!$C:$C,$A6)</f>
        <v/>
      </c>
      <c r="F6" s="9">
        <f>SUMIFS(Actuals!$T:$T,Actuals!$B:$B,"Income",Actuals!$C:$C,$A6)</f>
        <v/>
      </c>
      <c r="G6" s="9">
        <f>SUMIFS(Actuals!$U:$U,Actuals!$B:$B,"Income",Actuals!$C:$C,$A6)</f>
        <v/>
      </c>
      <c r="H6" s="9">
        <f>SUMIFS(Actuals!$V:$V,Actuals!$B:$B,"Income",Actuals!$C:$C,$A6)</f>
        <v/>
      </c>
      <c r="I6" s="9">
        <f>SUMIFS(Actuals!$W:$W,Actuals!$B:$B,"Income",Actuals!$C:$C,$A6)</f>
        <v/>
      </c>
      <c r="J6" s="9">
        <f>SUMIFS(Actuals!$X:$X,Actuals!$B:$B,"Income",Actuals!$C:$C,$A6)</f>
        <v/>
      </c>
      <c r="K6" s="9">
        <f>SUMIFS(Actuals!$Y:$Y,Actuals!$B:$B,"Income",Actuals!$C:$C,$A6)</f>
        <v/>
      </c>
      <c r="L6" s="9">
        <f>SUMIFS(Actuals!$Z:$Z,Actuals!$B:$B,"Income",Actuals!$C:$C,$A6)</f>
        <v/>
      </c>
      <c r="M6" s="9">
        <f>SUMIFS(Actuals!$AA:$AA,Actuals!$B:$B,"Income",Actuals!$C:$C,$A6)</f>
        <v/>
      </c>
      <c r="N6" s="10">
        <f>SUM(B6:M6)</f>
        <v/>
      </c>
    </row>
    <row r="7">
      <c r="A7" s="5" t="inlineStr">
        <is>
          <t>Video</t>
        </is>
      </c>
      <c r="B7" s="9">
        <f>SUMIFS(Actuals!$P:$P,Actuals!$B:$B,"Income",Actuals!$C:$C,$A7)</f>
        <v/>
      </c>
      <c r="C7" s="9">
        <f>SUMIFS(Actuals!$Q:$Q,Actuals!$B:$B,"Income",Actuals!$C:$C,$A7)</f>
        <v/>
      </c>
      <c r="D7" s="9">
        <f>SUMIFS(Actuals!$R:$R,Actuals!$B:$B,"Income",Actuals!$C:$C,$A7)</f>
        <v/>
      </c>
      <c r="E7" s="9">
        <f>SUMIFS(Actuals!$S:$S,Actuals!$B:$B,"Income",Actuals!$C:$C,$A7)</f>
        <v/>
      </c>
      <c r="F7" s="9">
        <f>SUMIFS(Actuals!$T:$T,Actuals!$B:$B,"Income",Actuals!$C:$C,$A7)</f>
        <v/>
      </c>
      <c r="G7" s="9">
        <f>SUMIFS(Actuals!$U:$U,Actuals!$B:$B,"Income",Actuals!$C:$C,$A7)</f>
        <v/>
      </c>
      <c r="H7" s="9">
        <f>SUMIFS(Actuals!$V:$V,Actuals!$B:$B,"Income",Actuals!$C:$C,$A7)</f>
        <v/>
      </c>
      <c r="I7" s="9">
        <f>SUMIFS(Actuals!$W:$W,Actuals!$B:$B,"Income",Actuals!$C:$C,$A7)</f>
        <v/>
      </c>
      <c r="J7" s="9">
        <f>SUMIFS(Actuals!$X:$X,Actuals!$B:$B,"Income",Actuals!$C:$C,$A7)</f>
        <v/>
      </c>
      <c r="K7" s="9">
        <f>SUMIFS(Actuals!$Y:$Y,Actuals!$B:$B,"Income",Actuals!$C:$C,$A7)</f>
        <v/>
      </c>
      <c r="L7" s="9">
        <f>SUMIFS(Actuals!$Z:$Z,Actuals!$B:$B,"Income",Actuals!$C:$C,$A7)</f>
        <v/>
      </c>
      <c r="M7" s="9">
        <f>SUMIFS(Actuals!$AA:$AA,Actuals!$B:$B,"Income",Actuals!$C:$C,$A7)</f>
        <v/>
      </c>
      <c r="N7" s="10">
        <f>SUM(B7:M7)</f>
        <v/>
      </c>
    </row>
    <row r="8">
      <c r="A8" s="5" t="inlineStr">
        <is>
          <t>Consulting</t>
        </is>
      </c>
      <c r="B8" s="9">
        <f>SUMIFS(Actuals!$P:$P,Actuals!$B:$B,"Income",Actuals!$C:$C,$A8)</f>
        <v/>
      </c>
      <c r="C8" s="9">
        <f>SUMIFS(Actuals!$Q:$Q,Actuals!$B:$B,"Income",Actuals!$C:$C,$A8)</f>
        <v/>
      </c>
      <c r="D8" s="9">
        <f>SUMIFS(Actuals!$R:$R,Actuals!$B:$B,"Income",Actuals!$C:$C,$A8)</f>
        <v/>
      </c>
      <c r="E8" s="9">
        <f>SUMIFS(Actuals!$S:$S,Actuals!$B:$B,"Income",Actuals!$C:$C,$A8)</f>
        <v/>
      </c>
      <c r="F8" s="9">
        <f>SUMIFS(Actuals!$T:$T,Actuals!$B:$B,"Income",Actuals!$C:$C,$A8)</f>
        <v/>
      </c>
      <c r="G8" s="9">
        <f>SUMIFS(Actuals!$U:$U,Actuals!$B:$B,"Income",Actuals!$C:$C,$A8)</f>
        <v/>
      </c>
      <c r="H8" s="9">
        <f>SUMIFS(Actuals!$V:$V,Actuals!$B:$B,"Income",Actuals!$C:$C,$A8)</f>
        <v/>
      </c>
      <c r="I8" s="9">
        <f>SUMIFS(Actuals!$W:$W,Actuals!$B:$B,"Income",Actuals!$C:$C,$A8)</f>
        <v/>
      </c>
      <c r="J8" s="9">
        <f>SUMIFS(Actuals!$X:$X,Actuals!$B:$B,"Income",Actuals!$C:$C,$A8)</f>
        <v/>
      </c>
      <c r="K8" s="9">
        <f>SUMIFS(Actuals!$Y:$Y,Actuals!$B:$B,"Income",Actuals!$C:$C,$A8)</f>
        <v/>
      </c>
      <c r="L8" s="9">
        <f>SUMIFS(Actuals!$Z:$Z,Actuals!$B:$B,"Income",Actuals!$C:$C,$A8)</f>
        <v/>
      </c>
      <c r="M8" s="9">
        <f>SUMIFS(Actuals!$AA:$AA,Actuals!$B:$B,"Income",Actuals!$C:$C,$A8)</f>
        <v/>
      </c>
      <c r="N8" s="10">
        <f>SUM(B8:M8)</f>
        <v/>
      </c>
    </row>
    <row r="9">
      <c r="A9" s="5" t="inlineStr">
        <is>
          <t>Integration</t>
        </is>
      </c>
      <c r="B9" s="9">
        <f>SUMIFS(Actuals!$P:$P,Actuals!$B:$B,"Income",Actuals!$C:$C,$A9)</f>
        <v/>
      </c>
      <c r="C9" s="9">
        <f>SUMIFS(Actuals!$Q:$Q,Actuals!$B:$B,"Income",Actuals!$C:$C,$A9)</f>
        <v/>
      </c>
      <c r="D9" s="9">
        <f>SUMIFS(Actuals!$R:$R,Actuals!$B:$B,"Income",Actuals!$C:$C,$A9)</f>
        <v/>
      </c>
      <c r="E9" s="9">
        <f>SUMIFS(Actuals!$S:$S,Actuals!$B:$B,"Income",Actuals!$C:$C,$A9)</f>
        <v/>
      </c>
      <c r="F9" s="9">
        <f>SUMIFS(Actuals!$T:$T,Actuals!$B:$B,"Income",Actuals!$C:$C,$A9)</f>
        <v/>
      </c>
      <c r="G9" s="9">
        <f>SUMIFS(Actuals!$U:$U,Actuals!$B:$B,"Income",Actuals!$C:$C,$A9)</f>
        <v/>
      </c>
      <c r="H9" s="9">
        <f>SUMIFS(Actuals!$V:$V,Actuals!$B:$B,"Income",Actuals!$C:$C,$A9)</f>
        <v/>
      </c>
      <c r="I9" s="9">
        <f>SUMIFS(Actuals!$W:$W,Actuals!$B:$B,"Income",Actuals!$C:$C,$A9)</f>
        <v/>
      </c>
      <c r="J9" s="9">
        <f>SUMIFS(Actuals!$X:$X,Actuals!$B:$B,"Income",Actuals!$C:$C,$A9)</f>
        <v/>
      </c>
      <c r="K9" s="9">
        <f>SUMIFS(Actuals!$Y:$Y,Actuals!$B:$B,"Income",Actuals!$C:$C,$A9)</f>
        <v/>
      </c>
      <c r="L9" s="9">
        <f>SUMIFS(Actuals!$Z:$Z,Actuals!$B:$B,"Income",Actuals!$C:$C,$A9)</f>
        <v/>
      </c>
      <c r="M9" s="9">
        <f>SUMIFS(Actuals!$AA:$AA,Actuals!$B:$B,"Income",Actuals!$C:$C,$A9)</f>
        <v/>
      </c>
      <c r="N9" s="10">
        <f>SUM(B9:M9)</f>
        <v/>
      </c>
    </row>
    <row r="10">
      <c r="A10" s="5" t="inlineStr">
        <is>
          <t>Admin</t>
        </is>
      </c>
      <c r="B10" s="9">
        <f>SUMIFS(Actuals!$P:$P,Actuals!$B:$B,"Income",Actuals!$C:$C,$A10)</f>
        <v/>
      </c>
      <c r="C10" s="9">
        <f>SUMIFS(Actuals!$Q:$Q,Actuals!$B:$B,"Income",Actuals!$C:$C,$A10)</f>
        <v/>
      </c>
      <c r="D10" s="9">
        <f>SUMIFS(Actuals!$R:$R,Actuals!$B:$B,"Income",Actuals!$C:$C,$A10)</f>
        <v/>
      </c>
      <c r="E10" s="9">
        <f>SUMIFS(Actuals!$S:$S,Actuals!$B:$B,"Income",Actuals!$C:$C,$A10)</f>
        <v/>
      </c>
      <c r="F10" s="9">
        <f>SUMIFS(Actuals!$T:$T,Actuals!$B:$B,"Income",Actuals!$C:$C,$A10)</f>
        <v/>
      </c>
      <c r="G10" s="9">
        <f>SUMIFS(Actuals!$U:$U,Actuals!$B:$B,"Income",Actuals!$C:$C,$A10)</f>
        <v/>
      </c>
      <c r="H10" s="9">
        <f>SUMIFS(Actuals!$V:$V,Actuals!$B:$B,"Income",Actuals!$C:$C,$A10)</f>
        <v/>
      </c>
      <c r="I10" s="9">
        <f>SUMIFS(Actuals!$W:$W,Actuals!$B:$B,"Income",Actuals!$C:$C,$A10)</f>
        <v/>
      </c>
      <c r="J10" s="9">
        <f>SUMIFS(Actuals!$X:$X,Actuals!$B:$B,"Income",Actuals!$C:$C,$A10)</f>
        <v/>
      </c>
      <c r="K10" s="9">
        <f>SUMIFS(Actuals!$Y:$Y,Actuals!$B:$B,"Income",Actuals!$C:$C,$A10)</f>
        <v/>
      </c>
      <c r="L10" s="9">
        <f>SUMIFS(Actuals!$Z:$Z,Actuals!$B:$B,"Income",Actuals!$C:$C,$A10)</f>
        <v/>
      </c>
      <c r="M10" s="9">
        <f>SUMIFS(Actuals!$AA:$AA,Actuals!$B:$B,"Income",Actuals!$C:$C,$A10)</f>
        <v/>
      </c>
      <c r="N10" s="10">
        <f>SUM(B10:M10)</f>
        <v/>
      </c>
    </row>
    <row r="11">
      <c r="A11" s="5" t="inlineStr">
        <is>
          <t>Unallocated</t>
        </is>
      </c>
      <c r="B11" s="9">
        <f>SUMIFS(Actuals!$P:$P,Actuals!$B:$B,"Income",Actuals!$C:$C,$A11)</f>
        <v/>
      </c>
      <c r="C11" s="9">
        <f>SUMIFS(Actuals!$Q:$Q,Actuals!$B:$B,"Income",Actuals!$C:$C,$A11)</f>
        <v/>
      </c>
      <c r="D11" s="9">
        <f>SUMIFS(Actuals!$R:$R,Actuals!$B:$B,"Income",Actuals!$C:$C,$A11)</f>
        <v/>
      </c>
      <c r="E11" s="9">
        <f>SUMIFS(Actuals!$S:$S,Actuals!$B:$B,"Income",Actuals!$C:$C,$A11)</f>
        <v/>
      </c>
      <c r="F11" s="9">
        <f>SUMIFS(Actuals!$T:$T,Actuals!$B:$B,"Income",Actuals!$C:$C,$A11)</f>
        <v/>
      </c>
      <c r="G11" s="9">
        <f>SUMIFS(Actuals!$U:$U,Actuals!$B:$B,"Income",Actuals!$C:$C,$A11)</f>
        <v/>
      </c>
      <c r="H11" s="9">
        <f>SUMIFS(Actuals!$V:$V,Actuals!$B:$B,"Income",Actuals!$C:$C,$A11)</f>
        <v/>
      </c>
      <c r="I11" s="9">
        <f>SUMIFS(Actuals!$W:$W,Actuals!$B:$B,"Income",Actuals!$C:$C,$A11)</f>
        <v/>
      </c>
      <c r="J11" s="9">
        <f>SUMIFS(Actuals!$X:$X,Actuals!$B:$B,"Income",Actuals!$C:$C,$A11)</f>
        <v/>
      </c>
      <c r="K11" s="9">
        <f>SUMIFS(Actuals!$Y:$Y,Actuals!$B:$B,"Income",Actuals!$C:$C,$A11)</f>
        <v/>
      </c>
      <c r="L11" s="9">
        <f>SUMIFS(Actuals!$Z:$Z,Actuals!$B:$B,"Income",Actuals!$C:$C,$A11)</f>
        <v/>
      </c>
      <c r="M11" s="9">
        <f>SUMIFS(Actuals!$AA:$AA,Actuals!$B:$B,"Income",Actuals!$C:$C,$A11)</f>
        <v/>
      </c>
      <c r="N11" s="10">
        <f>SUM(B11:M11)</f>
        <v/>
      </c>
    </row>
    <row r="13">
      <c r="A13" s="7" t="inlineStr">
        <is>
          <t>COST OF SALES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5" t="inlineStr">
        <is>
          <t>Onsite</t>
        </is>
      </c>
      <c r="B14" s="9">
        <f>SUMIFS(Actuals!$P:$P,Actuals!$B:$B,"Cost of Sales",Actuals!$C:$C,$A14)</f>
        <v/>
      </c>
      <c r="C14" s="9">
        <f>SUMIFS(Actuals!$Q:$Q,Actuals!$B:$B,"Cost of Sales",Actuals!$C:$C,$A14)</f>
        <v/>
      </c>
      <c r="D14" s="9">
        <f>SUMIFS(Actuals!$R:$R,Actuals!$B:$B,"Cost of Sales",Actuals!$C:$C,$A14)</f>
        <v/>
      </c>
      <c r="E14" s="9">
        <f>SUMIFS(Actuals!$S:$S,Actuals!$B:$B,"Cost of Sales",Actuals!$C:$C,$A14)</f>
        <v/>
      </c>
      <c r="F14" s="9">
        <f>SUMIFS(Actuals!$T:$T,Actuals!$B:$B,"Cost of Sales",Actuals!$C:$C,$A14)</f>
        <v/>
      </c>
      <c r="G14" s="9">
        <f>SUMIFS(Actuals!$U:$U,Actuals!$B:$B,"Cost of Sales",Actuals!$C:$C,$A14)</f>
        <v/>
      </c>
      <c r="H14" s="9">
        <f>SUMIFS(Actuals!$V:$V,Actuals!$B:$B,"Cost of Sales",Actuals!$C:$C,$A14)</f>
        <v/>
      </c>
      <c r="I14" s="9">
        <f>SUMIFS(Actuals!$W:$W,Actuals!$B:$B,"Cost of Sales",Actuals!$C:$C,$A14)</f>
        <v/>
      </c>
      <c r="J14" s="9">
        <f>SUMIFS(Actuals!$X:$X,Actuals!$B:$B,"Cost of Sales",Actuals!$C:$C,$A14)</f>
        <v/>
      </c>
      <c r="K14" s="9">
        <f>SUMIFS(Actuals!$Y:$Y,Actuals!$B:$B,"Cost of Sales",Actuals!$C:$C,$A14)</f>
        <v/>
      </c>
      <c r="L14" s="9">
        <f>SUMIFS(Actuals!$Z:$Z,Actuals!$B:$B,"Cost of Sales",Actuals!$C:$C,$A14)</f>
        <v/>
      </c>
      <c r="M14" s="9">
        <f>SUMIFS(Actuals!$AA:$AA,Actuals!$B:$B,"Cost of Sales",Actuals!$C:$C,$A14)</f>
        <v/>
      </c>
      <c r="N14" s="10">
        <f>SUM(B14:M14)</f>
        <v/>
      </c>
    </row>
    <row r="15">
      <c r="A15" s="5" t="inlineStr">
        <is>
          <t>Production</t>
        </is>
      </c>
      <c r="B15" s="9">
        <f>SUMIFS(Actuals!$P:$P,Actuals!$B:$B,"Cost of Sales",Actuals!$C:$C,$A15)</f>
        <v/>
      </c>
      <c r="C15" s="9">
        <f>SUMIFS(Actuals!$Q:$Q,Actuals!$B:$B,"Cost of Sales",Actuals!$C:$C,$A15)</f>
        <v/>
      </c>
      <c r="D15" s="9">
        <f>SUMIFS(Actuals!$R:$R,Actuals!$B:$B,"Cost of Sales",Actuals!$C:$C,$A15)</f>
        <v/>
      </c>
      <c r="E15" s="9">
        <f>SUMIFS(Actuals!$S:$S,Actuals!$B:$B,"Cost of Sales",Actuals!$C:$C,$A15)</f>
        <v/>
      </c>
      <c r="F15" s="9">
        <f>SUMIFS(Actuals!$T:$T,Actuals!$B:$B,"Cost of Sales",Actuals!$C:$C,$A15)</f>
        <v/>
      </c>
      <c r="G15" s="9">
        <f>SUMIFS(Actuals!$U:$U,Actuals!$B:$B,"Cost of Sales",Actuals!$C:$C,$A15)</f>
        <v/>
      </c>
      <c r="H15" s="9">
        <f>SUMIFS(Actuals!$V:$V,Actuals!$B:$B,"Cost of Sales",Actuals!$C:$C,$A15)</f>
        <v/>
      </c>
      <c r="I15" s="9">
        <f>SUMIFS(Actuals!$W:$W,Actuals!$B:$B,"Cost of Sales",Actuals!$C:$C,$A15)</f>
        <v/>
      </c>
      <c r="J15" s="9">
        <f>SUMIFS(Actuals!$X:$X,Actuals!$B:$B,"Cost of Sales",Actuals!$C:$C,$A15)</f>
        <v/>
      </c>
      <c r="K15" s="9">
        <f>SUMIFS(Actuals!$Y:$Y,Actuals!$B:$B,"Cost of Sales",Actuals!$C:$C,$A15)</f>
        <v/>
      </c>
      <c r="L15" s="9">
        <f>SUMIFS(Actuals!$Z:$Z,Actuals!$B:$B,"Cost of Sales",Actuals!$C:$C,$A15)</f>
        <v/>
      </c>
      <c r="M15" s="9">
        <f>SUMIFS(Actuals!$AA:$AA,Actuals!$B:$B,"Cost of Sales",Actuals!$C:$C,$A15)</f>
        <v/>
      </c>
      <c r="N15" s="10">
        <f>SUM(B15:M15)</f>
        <v/>
      </c>
    </row>
    <row r="16">
      <c r="A16" s="5" t="inlineStr">
        <is>
          <t>Video</t>
        </is>
      </c>
      <c r="B16" s="9">
        <f>SUMIFS(Actuals!$P:$P,Actuals!$B:$B,"Cost of Sales",Actuals!$C:$C,$A16)</f>
        <v/>
      </c>
      <c r="C16" s="9">
        <f>SUMIFS(Actuals!$Q:$Q,Actuals!$B:$B,"Cost of Sales",Actuals!$C:$C,$A16)</f>
        <v/>
      </c>
      <c r="D16" s="9">
        <f>SUMIFS(Actuals!$R:$R,Actuals!$B:$B,"Cost of Sales",Actuals!$C:$C,$A16)</f>
        <v/>
      </c>
      <c r="E16" s="9">
        <f>SUMIFS(Actuals!$S:$S,Actuals!$B:$B,"Cost of Sales",Actuals!$C:$C,$A16)</f>
        <v/>
      </c>
      <c r="F16" s="9">
        <f>SUMIFS(Actuals!$T:$T,Actuals!$B:$B,"Cost of Sales",Actuals!$C:$C,$A16)</f>
        <v/>
      </c>
      <c r="G16" s="9">
        <f>SUMIFS(Actuals!$U:$U,Actuals!$B:$B,"Cost of Sales",Actuals!$C:$C,$A16)</f>
        <v/>
      </c>
      <c r="H16" s="9">
        <f>SUMIFS(Actuals!$V:$V,Actuals!$B:$B,"Cost of Sales",Actuals!$C:$C,$A16)</f>
        <v/>
      </c>
      <c r="I16" s="9">
        <f>SUMIFS(Actuals!$W:$W,Actuals!$B:$B,"Cost of Sales",Actuals!$C:$C,$A16)</f>
        <v/>
      </c>
      <c r="J16" s="9">
        <f>SUMIFS(Actuals!$X:$X,Actuals!$B:$B,"Cost of Sales",Actuals!$C:$C,$A16)</f>
        <v/>
      </c>
      <c r="K16" s="9">
        <f>SUMIFS(Actuals!$Y:$Y,Actuals!$B:$B,"Cost of Sales",Actuals!$C:$C,$A16)</f>
        <v/>
      </c>
      <c r="L16" s="9">
        <f>SUMIFS(Actuals!$Z:$Z,Actuals!$B:$B,"Cost of Sales",Actuals!$C:$C,$A16)</f>
        <v/>
      </c>
      <c r="M16" s="9">
        <f>SUMIFS(Actuals!$AA:$AA,Actuals!$B:$B,"Cost of Sales",Actuals!$C:$C,$A16)</f>
        <v/>
      </c>
      <c r="N16" s="10">
        <f>SUM(B16:M16)</f>
        <v/>
      </c>
    </row>
    <row r="17">
      <c r="A17" s="5" t="inlineStr">
        <is>
          <t>Consulting</t>
        </is>
      </c>
      <c r="B17" s="9">
        <f>SUMIFS(Actuals!$P:$P,Actuals!$B:$B,"Cost of Sales",Actuals!$C:$C,$A17)</f>
        <v/>
      </c>
      <c r="C17" s="9">
        <f>SUMIFS(Actuals!$Q:$Q,Actuals!$B:$B,"Cost of Sales",Actuals!$C:$C,$A17)</f>
        <v/>
      </c>
      <c r="D17" s="9">
        <f>SUMIFS(Actuals!$R:$R,Actuals!$B:$B,"Cost of Sales",Actuals!$C:$C,$A17)</f>
        <v/>
      </c>
      <c r="E17" s="9">
        <f>SUMIFS(Actuals!$S:$S,Actuals!$B:$B,"Cost of Sales",Actuals!$C:$C,$A17)</f>
        <v/>
      </c>
      <c r="F17" s="9">
        <f>SUMIFS(Actuals!$T:$T,Actuals!$B:$B,"Cost of Sales",Actuals!$C:$C,$A17)</f>
        <v/>
      </c>
      <c r="G17" s="9">
        <f>SUMIFS(Actuals!$U:$U,Actuals!$B:$B,"Cost of Sales",Actuals!$C:$C,$A17)</f>
        <v/>
      </c>
      <c r="H17" s="9">
        <f>SUMIFS(Actuals!$V:$V,Actuals!$B:$B,"Cost of Sales",Actuals!$C:$C,$A17)</f>
        <v/>
      </c>
      <c r="I17" s="9">
        <f>SUMIFS(Actuals!$W:$W,Actuals!$B:$B,"Cost of Sales",Actuals!$C:$C,$A17)</f>
        <v/>
      </c>
      <c r="J17" s="9">
        <f>SUMIFS(Actuals!$X:$X,Actuals!$B:$B,"Cost of Sales",Actuals!$C:$C,$A17)</f>
        <v/>
      </c>
      <c r="K17" s="9">
        <f>SUMIFS(Actuals!$Y:$Y,Actuals!$B:$B,"Cost of Sales",Actuals!$C:$C,$A17)</f>
        <v/>
      </c>
      <c r="L17" s="9">
        <f>SUMIFS(Actuals!$Z:$Z,Actuals!$B:$B,"Cost of Sales",Actuals!$C:$C,$A17)</f>
        <v/>
      </c>
      <c r="M17" s="9">
        <f>SUMIFS(Actuals!$AA:$AA,Actuals!$B:$B,"Cost of Sales",Actuals!$C:$C,$A17)</f>
        <v/>
      </c>
      <c r="N17" s="10">
        <f>SUM(B17:M17)</f>
        <v/>
      </c>
    </row>
    <row r="18">
      <c r="A18" s="5" t="inlineStr">
        <is>
          <t>Integration</t>
        </is>
      </c>
      <c r="B18" s="9">
        <f>SUMIFS(Actuals!$P:$P,Actuals!$B:$B,"Cost of Sales",Actuals!$C:$C,$A18)</f>
        <v/>
      </c>
      <c r="C18" s="9">
        <f>SUMIFS(Actuals!$Q:$Q,Actuals!$B:$B,"Cost of Sales",Actuals!$C:$C,$A18)</f>
        <v/>
      </c>
      <c r="D18" s="9">
        <f>SUMIFS(Actuals!$R:$R,Actuals!$B:$B,"Cost of Sales",Actuals!$C:$C,$A18)</f>
        <v/>
      </c>
      <c r="E18" s="9">
        <f>SUMIFS(Actuals!$S:$S,Actuals!$B:$B,"Cost of Sales",Actuals!$C:$C,$A18)</f>
        <v/>
      </c>
      <c r="F18" s="9">
        <f>SUMIFS(Actuals!$T:$T,Actuals!$B:$B,"Cost of Sales",Actuals!$C:$C,$A18)</f>
        <v/>
      </c>
      <c r="G18" s="9">
        <f>SUMIFS(Actuals!$U:$U,Actuals!$B:$B,"Cost of Sales",Actuals!$C:$C,$A18)</f>
        <v/>
      </c>
      <c r="H18" s="9">
        <f>SUMIFS(Actuals!$V:$V,Actuals!$B:$B,"Cost of Sales",Actuals!$C:$C,$A18)</f>
        <v/>
      </c>
      <c r="I18" s="9">
        <f>SUMIFS(Actuals!$W:$W,Actuals!$B:$B,"Cost of Sales",Actuals!$C:$C,$A18)</f>
        <v/>
      </c>
      <c r="J18" s="9">
        <f>SUMIFS(Actuals!$X:$X,Actuals!$B:$B,"Cost of Sales",Actuals!$C:$C,$A18)</f>
        <v/>
      </c>
      <c r="K18" s="9">
        <f>SUMIFS(Actuals!$Y:$Y,Actuals!$B:$B,"Cost of Sales",Actuals!$C:$C,$A18)</f>
        <v/>
      </c>
      <c r="L18" s="9">
        <f>SUMIFS(Actuals!$Z:$Z,Actuals!$B:$B,"Cost of Sales",Actuals!$C:$C,$A18)</f>
        <v/>
      </c>
      <c r="M18" s="9">
        <f>SUMIFS(Actuals!$AA:$AA,Actuals!$B:$B,"Cost of Sales",Actuals!$C:$C,$A18)</f>
        <v/>
      </c>
      <c r="N18" s="10">
        <f>SUM(B18:M18)</f>
        <v/>
      </c>
    </row>
    <row r="19">
      <c r="A19" s="5" t="inlineStr">
        <is>
          <t>Admin</t>
        </is>
      </c>
      <c r="B19" s="9">
        <f>SUMIFS(Actuals!$P:$P,Actuals!$B:$B,"Cost of Sales",Actuals!$C:$C,$A19)</f>
        <v/>
      </c>
      <c r="C19" s="9">
        <f>SUMIFS(Actuals!$Q:$Q,Actuals!$B:$B,"Cost of Sales",Actuals!$C:$C,$A19)</f>
        <v/>
      </c>
      <c r="D19" s="9">
        <f>SUMIFS(Actuals!$R:$R,Actuals!$B:$B,"Cost of Sales",Actuals!$C:$C,$A19)</f>
        <v/>
      </c>
      <c r="E19" s="9">
        <f>SUMIFS(Actuals!$S:$S,Actuals!$B:$B,"Cost of Sales",Actuals!$C:$C,$A19)</f>
        <v/>
      </c>
      <c r="F19" s="9">
        <f>SUMIFS(Actuals!$T:$T,Actuals!$B:$B,"Cost of Sales",Actuals!$C:$C,$A19)</f>
        <v/>
      </c>
      <c r="G19" s="9">
        <f>SUMIFS(Actuals!$U:$U,Actuals!$B:$B,"Cost of Sales",Actuals!$C:$C,$A19)</f>
        <v/>
      </c>
      <c r="H19" s="9">
        <f>SUMIFS(Actuals!$V:$V,Actuals!$B:$B,"Cost of Sales",Actuals!$C:$C,$A19)</f>
        <v/>
      </c>
      <c r="I19" s="9">
        <f>SUMIFS(Actuals!$W:$W,Actuals!$B:$B,"Cost of Sales",Actuals!$C:$C,$A19)</f>
        <v/>
      </c>
      <c r="J19" s="9">
        <f>SUMIFS(Actuals!$X:$X,Actuals!$B:$B,"Cost of Sales",Actuals!$C:$C,$A19)</f>
        <v/>
      </c>
      <c r="K19" s="9">
        <f>SUMIFS(Actuals!$Y:$Y,Actuals!$B:$B,"Cost of Sales",Actuals!$C:$C,$A19)</f>
        <v/>
      </c>
      <c r="L19" s="9">
        <f>SUMIFS(Actuals!$Z:$Z,Actuals!$B:$B,"Cost of Sales",Actuals!$C:$C,$A19)</f>
        <v/>
      </c>
      <c r="M19" s="9">
        <f>SUMIFS(Actuals!$AA:$AA,Actuals!$B:$B,"Cost of Sales",Actuals!$C:$C,$A19)</f>
        <v/>
      </c>
      <c r="N19" s="10">
        <f>SUM(B19:M19)</f>
        <v/>
      </c>
    </row>
    <row r="20">
      <c r="A20" s="5" t="inlineStr">
        <is>
          <t>Unallocated</t>
        </is>
      </c>
      <c r="B20" s="9">
        <f>SUMIFS(Actuals!$P:$P,Actuals!$B:$B,"Cost of Sales",Actuals!$C:$C,$A20)</f>
        <v/>
      </c>
      <c r="C20" s="9">
        <f>SUMIFS(Actuals!$Q:$Q,Actuals!$B:$B,"Cost of Sales",Actuals!$C:$C,$A20)</f>
        <v/>
      </c>
      <c r="D20" s="9">
        <f>SUMIFS(Actuals!$R:$R,Actuals!$B:$B,"Cost of Sales",Actuals!$C:$C,$A20)</f>
        <v/>
      </c>
      <c r="E20" s="9">
        <f>SUMIFS(Actuals!$S:$S,Actuals!$B:$B,"Cost of Sales",Actuals!$C:$C,$A20)</f>
        <v/>
      </c>
      <c r="F20" s="9">
        <f>SUMIFS(Actuals!$T:$T,Actuals!$B:$B,"Cost of Sales",Actuals!$C:$C,$A20)</f>
        <v/>
      </c>
      <c r="G20" s="9">
        <f>SUMIFS(Actuals!$U:$U,Actuals!$B:$B,"Cost of Sales",Actuals!$C:$C,$A20)</f>
        <v/>
      </c>
      <c r="H20" s="9">
        <f>SUMIFS(Actuals!$V:$V,Actuals!$B:$B,"Cost of Sales",Actuals!$C:$C,$A20)</f>
        <v/>
      </c>
      <c r="I20" s="9">
        <f>SUMIFS(Actuals!$W:$W,Actuals!$B:$B,"Cost of Sales",Actuals!$C:$C,$A20)</f>
        <v/>
      </c>
      <c r="J20" s="9">
        <f>SUMIFS(Actuals!$X:$X,Actuals!$B:$B,"Cost of Sales",Actuals!$C:$C,$A20)</f>
        <v/>
      </c>
      <c r="K20" s="9">
        <f>SUMIFS(Actuals!$Y:$Y,Actuals!$B:$B,"Cost of Sales",Actuals!$C:$C,$A20)</f>
        <v/>
      </c>
      <c r="L20" s="9">
        <f>SUMIFS(Actuals!$Z:$Z,Actuals!$B:$B,"Cost of Sales",Actuals!$C:$C,$A20)</f>
        <v/>
      </c>
      <c r="M20" s="9">
        <f>SUMIFS(Actuals!$AA:$AA,Actuals!$B:$B,"Cost of Sales",Actuals!$C:$C,$A20)</f>
        <v/>
      </c>
      <c r="N20" s="10">
        <f>SUM(B20:M20)</f>
        <v/>
      </c>
    </row>
    <row r="22">
      <c r="A22" s="7" t="inlineStr">
        <is>
          <t>GROSS PROFIT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5" t="inlineStr">
        <is>
          <t>Onsite</t>
        </is>
      </c>
      <c r="B23" s="9">
        <f>B5-B14</f>
        <v/>
      </c>
      <c r="C23" s="9">
        <f>C5-C14</f>
        <v/>
      </c>
      <c r="D23" s="9">
        <f>D5-D14</f>
        <v/>
      </c>
      <c r="E23" s="9">
        <f>E5-E14</f>
        <v/>
      </c>
      <c r="F23" s="9">
        <f>F5-F14</f>
        <v/>
      </c>
      <c r="G23" s="9">
        <f>G5-G14</f>
        <v/>
      </c>
      <c r="H23" s="9">
        <f>H5-H14</f>
        <v/>
      </c>
      <c r="I23" s="9">
        <f>I5-I14</f>
        <v/>
      </c>
      <c r="J23" s="9">
        <f>J5-J14</f>
        <v/>
      </c>
      <c r="K23" s="9">
        <f>K5-K14</f>
        <v/>
      </c>
      <c r="L23" s="9">
        <f>L5-L14</f>
        <v/>
      </c>
      <c r="M23" s="9">
        <f>M5-M14</f>
        <v/>
      </c>
      <c r="N23" s="10">
        <f>SUM(B23:M23)</f>
        <v/>
      </c>
    </row>
    <row r="24">
      <c r="A24" s="5" t="inlineStr">
        <is>
          <t>Production</t>
        </is>
      </c>
      <c r="B24" s="9">
        <f>B6-B15</f>
        <v/>
      </c>
      <c r="C24" s="9">
        <f>C6-C15</f>
        <v/>
      </c>
      <c r="D24" s="9">
        <f>D6-D15</f>
        <v/>
      </c>
      <c r="E24" s="9">
        <f>E6-E15</f>
        <v/>
      </c>
      <c r="F24" s="9">
        <f>F6-F15</f>
        <v/>
      </c>
      <c r="G24" s="9">
        <f>G6-G15</f>
        <v/>
      </c>
      <c r="H24" s="9">
        <f>H6-H15</f>
        <v/>
      </c>
      <c r="I24" s="9">
        <f>I6-I15</f>
        <v/>
      </c>
      <c r="J24" s="9">
        <f>J6-J15</f>
        <v/>
      </c>
      <c r="K24" s="9">
        <f>K6-K15</f>
        <v/>
      </c>
      <c r="L24" s="9">
        <f>L6-L15</f>
        <v/>
      </c>
      <c r="M24" s="9">
        <f>M6-M15</f>
        <v/>
      </c>
      <c r="N24" s="10">
        <f>SUM(B24:M24)</f>
        <v/>
      </c>
    </row>
    <row r="25">
      <c r="A25" s="5" t="inlineStr">
        <is>
          <t>Video</t>
        </is>
      </c>
      <c r="B25" s="9">
        <f>B7-B16</f>
        <v/>
      </c>
      <c r="C25" s="9">
        <f>C7-C16</f>
        <v/>
      </c>
      <c r="D25" s="9">
        <f>D7-D16</f>
        <v/>
      </c>
      <c r="E25" s="9">
        <f>E7-E16</f>
        <v/>
      </c>
      <c r="F25" s="9">
        <f>F7-F16</f>
        <v/>
      </c>
      <c r="G25" s="9">
        <f>G7-G16</f>
        <v/>
      </c>
      <c r="H25" s="9">
        <f>H7-H16</f>
        <v/>
      </c>
      <c r="I25" s="9">
        <f>I7-I16</f>
        <v/>
      </c>
      <c r="J25" s="9">
        <f>J7-J16</f>
        <v/>
      </c>
      <c r="K25" s="9">
        <f>K7-K16</f>
        <v/>
      </c>
      <c r="L25" s="9">
        <f>L7-L16</f>
        <v/>
      </c>
      <c r="M25" s="9">
        <f>M7-M16</f>
        <v/>
      </c>
      <c r="N25" s="10">
        <f>SUM(B25:M25)</f>
        <v/>
      </c>
    </row>
    <row r="26">
      <c r="A26" s="5" t="inlineStr">
        <is>
          <t>Consulting</t>
        </is>
      </c>
      <c r="B26" s="9">
        <f>B8-B17</f>
        <v/>
      </c>
      <c r="C26" s="9">
        <f>C8-C17</f>
        <v/>
      </c>
      <c r="D26" s="9">
        <f>D8-D17</f>
        <v/>
      </c>
      <c r="E26" s="9">
        <f>E8-E17</f>
        <v/>
      </c>
      <c r="F26" s="9">
        <f>F8-F17</f>
        <v/>
      </c>
      <c r="G26" s="9">
        <f>G8-G17</f>
        <v/>
      </c>
      <c r="H26" s="9">
        <f>H8-H17</f>
        <v/>
      </c>
      <c r="I26" s="9">
        <f>I8-I17</f>
        <v/>
      </c>
      <c r="J26" s="9">
        <f>J8-J17</f>
        <v/>
      </c>
      <c r="K26" s="9">
        <f>K8-K17</f>
        <v/>
      </c>
      <c r="L26" s="9">
        <f>L8-L17</f>
        <v/>
      </c>
      <c r="M26" s="9">
        <f>M8-M17</f>
        <v/>
      </c>
      <c r="N26" s="10">
        <f>SUM(B26:M26)</f>
        <v/>
      </c>
    </row>
    <row r="27">
      <c r="A27" s="5" t="inlineStr">
        <is>
          <t>Integration</t>
        </is>
      </c>
      <c r="B27" s="9">
        <f>B9-B18</f>
        <v/>
      </c>
      <c r="C27" s="9">
        <f>C9-C18</f>
        <v/>
      </c>
      <c r="D27" s="9">
        <f>D9-D18</f>
        <v/>
      </c>
      <c r="E27" s="9">
        <f>E9-E18</f>
        <v/>
      </c>
      <c r="F27" s="9">
        <f>F9-F18</f>
        <v/>
      </c>
      <c r="G27" s="9">
        <f>G9-G18</f>
        <v/>
      </c>
      <c r="H27" s="9">
        <f>H9-H18</f>
        <v/>
      </c>
      <c r="I27" s="9">
        <f>I9-I18</f>
        <v/>
      </c>
      <c r="J27" s="9">
        <f>J9-J18</f>
        <v/>
      </c>
      <c r="K27" s="9">
        <f>K9-K18</f>
        <v/>
      </c>
      <c r="L27" s="9">
        <f>L9-L18</f>
        <v/>
      </c>
      <c r="M27" s="9">
        <f>M9-M18</f>
        <v/>
      </c>
      <c r="N27" s="10">
        <f>SUM(B27:M27)</f>
        <v/>
      </c>
    </row>
    <row r="28">
      <c r="A28" s="5" t="inlineStr">
        <is>
          <t>Admin</t>
        </is>
      </c>
      <c r="B28" s="9">
        <f>B10-B19</f>
        <v/>
      </c>
      <c r="C28" s="9">
        <f>C10-C19</f>
        <v/>
      </c>
      <c r="D28" s="9">
        <f>D10-D19</f>
        <v/>
      </c>
      <c r="E28" s="9">
        <f>E10-E19</f>
        <v/>
      </c>
      <c r="F28" s="9">
        <f>F10-F19</f>
        <v/>
      </c>
      <c r="G28" s="9">
        <f>G10-G19</f>
        <v/>
      </c>
      <c r="H28" s="9">
        <f>H10-H19</f>
        <v/>
      </c>
      <c r="I28" s="9">
        <f>I10-I19</f>
        <v/>
      </c>
      <c r="J28" s="9">
        <f>J10-J19</f>
        <v/>
      </c>
      <c r="K28" s="9">
        <f>K10-K19</f>
        <v/>
      </c>
      <c r="L28" s="9">
        <f>L10-L19</f>
        <v/>
      </c>
      <c r="M28" s="9">
        <f>M10-M19</f>
        <v/>
      </c>
      <c r="N28" s="10">
        <f>SUM(B28:M28)</f>
        <v/>
      </c>
    </row>
    <row r="29">
      <c r="A29" s="5" t="inlineStr">
        <is>
          <t>Unallocated</t>
        </is>
      </c>
      <c r="B29" s="9">
        <f>B11-B20</f>
        <v/>
      </c>
      <c r="C29" s="9">
        <f>C11-C20</f>
        <v/>
      </c>
      <c r="D29" s="9">
        <f>D11-D20</f>
        <v/>
      </c>
      <c r="E29" s="9">
        <f>E11-E20</f>
        <v/>
      </c>
      <c r="F29" s="9">
        <f>F11-F20</f>
        <v/>
      </c>
      <c r="G29" s="9">
        <f>G11-G20</f>
        <v/>
      </c>
      <c r="H29" s="9">
        <f>H11-H20</f>
        <v/>
      </c>
      <c r="I29" s="9">
        <f>I11-I20</f>
        <v/>
      </c>
      <c r="J29" s="9">
        <f>J11-J20</f>
        <v/>
      </c>
      <c r="K29" s="9">
        <f>K11-K20</f>
        <v/>
      </c>
      <c r="L29" s="9">
        <f>L11-L20</f>
        <v/>
      </c>
      <c r="M29" s="9">
        <f>M11-M20</f>
        <v/>
      </c>
      <c r="N29" s="10">
        <f>SUM(B29:M29)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Budget P&amp;L: FY27 Profit &amp; Loss</t>
        </is>
      </c>
    </row>
    <row r="2">
      <c r="A2" s="2" t="inlineStr">
        <is>
          <t>Calculated from the Budget sheet. Do not type here.</t>
        </is>
      </c>
    </row>
    <row r="3" ht="28" customHeight="1">
      <c r="A3" s="3" t="inlineStr">
        <is>
          <t>Account</t>
        </is>
      </c>
      <c r="B3" s="4" t="inlineStr">
        <is>
          <t>Jul-26</t>
        </is>
      </c>
      <c r="C3" s="4" t="inlineStr">
        <is>
          <t>Aug-26</t>
        </is>
      </c>
      <c r="D3" s="4" t="inlineStr">
        <is>
          <t>Sep-26</t>
        </is>
      </c>
      <c r="E3" s="4" t="inlineStr">
        <is>
          <t>Oct-26</t>
        </is>
      </c>
      <c r="F3" s="4" t="inlineStr">
        <is>
          <t>Nov-26</t>
        </is>
      </c>
      <c r="G3" s="4" t="inlineStr">
        <is>
          <t>Dec-26</t>
        </is>
      </c>
      <c r="H3" s="4" t="inlineStr">
        <is>
          <t>Jan-27</t>
        </is>
      </c>
      <c r="I3" s="4" t="inlineStr">
        <is>
          <t>Feb-27</t>
        </is>
      </c>
      <c r="J3" s="4" t="inlineStr">
        <is>
          <t>Mar-27</t>
        </is>
      </c>
      <c r="K3" s="4" t="inlineStr">
        <is>
          <t>Apr-27</t>
        </is>
      </c>
      <c r="L3" s="4" t="inlineStr">
        <is>
          <t>May-27</t>
        </is>
      </c>
      <c r="M3" s="4" t="inlineStr">
        <is>
          <t>Jun-27</t>
        </is>
      </c>
      <c r="N3" s="4" t="inlineStr">
        <is>
          <t>FY27 Total</t>
        </is>
      </c>
    </row>
    <row r="4">
      <c r="A4" s="7" t="inlineStr">
        <is>
          <t>INCOME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5" t="inlineStr">
        <is>
          <t>Ad Hoc Service Labour</t>
        </is>
      </c>
      <c r="B5" s="9">
        <f>SUMIFS(Budget!$P:$P,Budget!$A:$A,$A5)</f>
        <v/>
      </c>
      <c r="C5" s="9">
        <f>SUMIFS(Budget!$Q:$Q,Budget!$A:$A,$A5)</f>
        <v/>
      </c>
      <c r="D5" s="9">
        <f>SUMIFS(Budget!$R:$R,Budget!$A:$A,$A5)</f>
        <v/>
      </c>
      <c r="E5" s="9">
        <f>SUMIFS(Budget!$S:$S,Budget!$A:$A,$A5)</f>
        <v/>
      </c>
      <c r="F5" s="9">
        <f>SUMIFS(Budget!$T:$T,Budget!$A:$A,$A5)</f>
        <v/>
      </c>
      <c r="G5" s="9">
        <f>SUMIFS(Budget!$U:$U,Budget!$A:$A,$A5)</f>
        <v/>
      </c>
      <c r="H5" s="9">
        <f>SUMIFS(Budget!$V:$V,Budget!$A:$A,$A5)</f>
        <v/>
      </c>
      <c r="I5" s="9">
        <f>SUMIFS(Budget!$W:$W,Budget!$A:$A,$A5)</f>
        <v/>
      </c>
      <c r="J5" s="9">
        <f>SUMIFS(Budget!$X:$X,Budget!$A:$A,$A5)</f>
        <v/>
      </c>
      <c r="K5" s="9">
        <f>SUMIFS(Budget!$Y:$Y,Budget!$A:$A,$A5)</f>
        <v/>
      </c>
      <c r="L5" s="9">
        <f>SUMIFS(Budget!$Z:$Z,Budget!$A:$A,$A5)</f>
        <v/>
      </c>
      <c r="M5" s="9">
        <f>SUMIFS(Budget!$AA:$AA,Budget!$A:$A,$A5)</f>
        <v/>
      </c>
      <c r="N5" s="10">
        <f>SUM(B5:M5)</f>
        <v/>
      </c>
    </row>
    <row r="6">
      <c r="A6" s="5" t="inlineStr">
        <is>
          <t>Closing Work in Progress</t>
        </is>
      </c>
      <c r="B6" s="9">
        <f>SUMIFS(Budget!$P:$P,Budget!$A:$A,$A6)</f>
        <v/>
      </c>
      <c r="C6" s="9">
        <f>SUMIFS(Budget!$Q:$Q,Budget!$A:$A,$A6)</f>
        <v/>
      </c>
      <c r="D6" s="9">
        <f>SUMIFS(Budget!$R:$R,Budget!$A:$A,$A6)</f>
        <v/>
      </c>
      <c r="E6" s="9">
        <f>SUMIFS(Budget!$S:$S,Budget!$A:$A,$A6)</f>
        <v/>
      </c>
      <c r="F6" s="9">
        <f>SUMIFS(Budget!$T:$T,Budget!$A:$A,$A6)</f>
        <v/>
      </c>
      <c r="G6" s="9">
        <f>SUMIFS(Budget!$U:$U,Budget!$A:$A,$A6)</f>
        <v/>
      </c>
      <c r="H6" s="9">
        <f>SUMIFS(Budget!$V:$V,Budget!$A:$A,$A6)</f>
        <v/>
      </c>
      <c r="I6" s="9">
        <f>SUMIFS(Budget!$W:$W,Budget!$A:$A,$A6)</f>
        <v/>
      </c>
      <c r="J6" s="9">
        <f>SUMIFS(Budget!$X:$X,Budget!$A:$A,$A6)</f>
        <v/>
      </c>
      <c r="K6" s="9">
        <f>SUMIFS(Budget!$Y:$Y,Budget!$A:$A,$A6)</f>
        <v/>
      </c>
      <c r="L6" s="9">
        <f>SUMIFS(Budget!$Z:$Z,Budget!$A:$A,$A6)</f>
        <v/>
      </c>
      <c r="M6" s="9">
        <f>SUMIFS(Budget!$AA:$AA,Budget!$A:$A,$A6)</f>
        <v/>
      </c>
      <c r="N6" s="10">
        <f>SUM(B6:M6)</f>
        <v/>
      </c>
    </row>
    <row r="7">
      <c r="A7" s="5" t="inlineStr">
        <is>
          <t>Conference Call Charge</t>
        </is>
      </c>
      <c r="B7" s="9">
        <f>SUMIFS(Budget!$P:$P,Budget!$A:$A,$A7)</f>
        <v/>
      </c>
      <c r="C7" s="9">
        <f>SUMIFS(Budget!$Q:$Q,Budget!$A:$A,$A7)</f>
        <v/>
      </c>
      <c r="D7" s="9">
        <f>SUMIFS(Budget!$R:$R,Budget!$A:$A,$A7)</f>
        <v/>
      </c>
      <c r="E7" s="9">
        <f>SUMIFS(Budget!$S:$S,Budget!$A:$A,$A7)</f>
        <v/>
      </c>
      <c r="F7" s="9">
        <f>SUMIFS(Budget!$T:$T,Budget!$A:$A,$A7)</f>
        <v/>
      </c>
      <c r="G7" s="9">
        <f>SUMIFS(Budget!$U:$U,Budget!$A:$A,$A7)</f>
        <v/>
      </c>
      <c r="H7" s="9">
        <f>SUMIFS(Budget!$V:$V,Budget!$A:$A,$A7)</f>
        <v/>
      </c>
      <c r="I7" s="9">
        <f>SUMIFS(Budget!$W:$W,Budget!$A:$A,$A7)</f>
        <v/>
      </c>
      <c r="J7" s="9">
        <f>SUMIFS(Budget!$X:$X,Budget!$A:$A,$A7)</f>
        <v/>
      </c>
      <c r="K7" s="9">
        <f>SUMIFS(Budget!$Y:$Y,Budget!$A:$A,$A7)</f>
        <v/>
      </c>
      <c r="L7" s="9">
        <f>SUMIFS(Budget!$Z:$Z,Budget!$A:$A,$A7)</f>
        <v/>
      </c>
      <c r="M7" s="9">
        <f>SUMIFS(Budget!$AA:$AA,Budget!$A:$A,$A7)</f>
        <v/>
      </c>
      <c r="N7" s="10">
        <f>SUM(B7:M7)</f>
        <v/>
      </c>
    </row>
    <row r="8">
      <c r="A8" s="5" t="inlineStr">
        <is>
          <t>Contract Help Desk</t>
        </is>
      </c>
      <c r="B8" s="9">
        <f>SUMIFS(Budget!$P:$P,Budget!$A:$A,$A8)</f>
        <v/>
      </c>
      <c r="C8" s="9">
        <f>SUMIFS(Budget!$Q:$Q,Budget!$A:$A,$A8)</f>
        <v/>
      </c>
      <c r="D8" s="9">
        <f>SUMIFS(Budget!$R:$R,Budget!$A:$A,$A8)</f>
        <v/>
      </c>
      <c r="E8" s="9">
        <f>SUMIFS(Budget!$S:$S,Budget!$A:$A,$A8)</f>
        <v/>
      </c>
      <c r="F8" s="9">
        <f>SUMIFS(Budget!$T:$T,Budget!$A:$A,$A8)</f>
        <v/>
      </c>
      <c r="G8" s="9">
        <f>SUMIFS(Budget!$U:$U,Budget!$A:$A,$A8)</f>
        <v/>
      </c>
      <c r="H8" s="9">
        <f>SUMIFS(Budget!$V:$V,Budget!$A:$A,$A8)</f>
        <v/>
      </c>
      <c r="I8" s="9">
        <f>SUMIFS(Budget!$W:$W,Budget!$A:$A,$A8)</f>
        <v/>
      </c>
      <c r="J8" s="9">
        <f>SUMIFS(Budget!$X:$X,Budget!$A:$A,$A8)</f>
        <v/>
      </c>
      <c r="K8" s="9">
        <f>SUMIFS(Budget!$Y:$Y,Budget!$A:$A,$A8)</f>
        <v/>
      </c>
      <c r="L8" s="9">
        <f>SUMIFS(Budget!$Z:$Z,Budget!$A:$A,$A8)</f>
        <v/>
      </c>
      <c r="M8" s="9">
        <f>SUMIFS(Budget!$AA:$AA,Budget!$A:$A,$A8)</f>
        <v/>
      </c>
      <c r="N8" s="10">
        <f>SUM(B8:M8)</f>
        <v/>
      </c>
    </row>
    <row r="9">
      <c r="A9" s="5" t="inlineStr">
        <is>
          <t>Contract Maintenance</t>
        </is>
      </c>
      <c r="B9" s="9">
        <f>SUMIFS(Budget!$P:$P,Budget!$A:$A,$A9)</f>
        <v/>
      </c>
      <c r="C9" s="9">
        <f>SUMIFS(Budget!$Q:$Q,Budget!$A:$A,$A9)</f>
        <v/>
      </c>
      <c r="D9" s="9">
        <f>SUMIFS(Budget!$R:$R,Budget!$A:$A,$A9)</f>
        <v/>
      </c>
      <c r="E9" s="9">
        <f>SUMIFS(Budget!$S:$S,Budget!$A:$A,$A9)</f>
        <v/>
      </c>
      <c r="F9" s="9">
        <f>SUMIFS(Budget!$T:$T,Budget!$A:$A,$A9)</f>
        <v/>
      </c>
      <c r="G9" s="9">
        <f>SUMIFS(Budget!$U:$U,Budget!$A:$A,$A9)</f>
        <v/>
      </c>
      <c r="H9" s="9">
        <f>SUMIFS(Budget!$V:$V,Budget!$A:$A,$A9)</f>
        <v/>
      </c>
      <c r="I9" s="9">
        <f>SUMIFS(Budget!$W:$W,Budget!$A:$A,$A9)</f>
        <v/>
      </c>
      <c r="J9" s="9">
        <f>SUMIFS(Budget!$X:$X,Budget!$A:$A,$A9)</f>
        <v/>
      </c>
      <c r="K9" s="9">
        <f>SUMIFS(Budget!$Y:$Y,Budget!$A:$A,$A9)</f>
        <v/>
      </c>
      <c r="L9" s="9">
        <f>SUMIFS(Budget!$Z:$Z,Budget!$A:$A,$A9)</f>
        <v/>
      </c>
      <c r="M9" s="9">
        <f>SUMIFS(Budget!$AA:$AA,Budget!$A:$A,$A9)</f>
        <v/>
      </c>
      <c r="N9" s="10">
        <f>SUM(B9:M9)</f>
        <v/>
      </c>
    </row>
    <row r="10">
      <c r="A10" s="5" t="inlineStr">
        <is>
          <t>Contract Support Staff</t>
        </is>
      </c>
      <c r="B10" s="9">
        <f>SUMIFS(Budget!$P:$P,Budget!$A:$A,$A10)</f>
        <v/>
      </c>
      <c r="C10" s="9">
        <f>SUMIFS(Budget!$Q:$Q,Budget!$A:$A,$A10)</f>
        <v/>
      </c>
      <c r="D10" s="9">
        <f>SUMIFS(Budget!$R:$R,Budget!$A:$A,$A10)</f>
        <v/>
      </c>
      <c r="E10" s="9">
        <f>SUMIFS(Budget!$S:$S,Budget!$A:$A,$A10)</f>
        <v/>
      </c>
      <c r="F10" s="9">
        <f>SUMIFS(Budget!$T:$T,Budget!$A:$A,$A10)</f>
        <v/>
      </c>
      <c r="G10" s="9">
        <f>SUMIFS(Budget!$U:$U,Budget!$A:$A,$A10)</f>
        <v/>
      </c>
      <c r="H10" s="9">
        <f>SUMIFS(Budget!$V:$V,Budget!$A:$A,$A10)</f>
        <v/>
      </c>
      <c r="I10" s="9">
        <f>SUMIFS(Budget!$W:$W,Budget!$A:$A,$A10)</f>
        <v/>
      </c>
      <c r="J10" s="9">
        <f>SUMIFS(Budget!$X:$X,Budget!$A:$A,$A10)</f>
        <v/>
      </c>
      <c r="K10" s="9">
        <f>SUMIFS(Budget!$Y:$Y,Budget!$A:$A,$A10)</f>
        <v/>
      </c>
      <c r="L10" s="9">
        <f>SUMIFS(Budget!$Z:$Z,Budget!$A:$A,$A10)</f>
        <v/>
      </c>
      <c r="M10" s="9">
        <f>SUMIFS(Budget!$AA:$AA,Budget!$A:$A,$A10)</f>
        <v/>
      </c>
      <c r="N10" s="10">
        <f>SUM(B10:M10)</f>
        <v/>
      </c>
    </row>
    <row r="11">
      <c r="A11" s="5" t="inlineStr">
        <is>
          <t>Credit Card Collected - CONS</t>
        </is>
      </c>
      <c r="B11" s="9">
        <f>SUMIFS(Budget!$P:$P,Budget!$A:$A,$A11)</f>
        <v/>
      </c>
      <c r="C11" s="9">
        <f>SUMIFS(Budget!$Q:$Q,Budget!$A:$A,$A11)</f>
        <v/>
      </c>
      <c r="D11" s="9">
        <f>SUMIFS(Budget!$R:$R,Budget!$A:$A,$A11)</f>
        <v/>
      </c>
      <c r="E11" s="9">
        <f>SUMIFS(Budget!$S:$S,Budget!$A:$A,$A11)</f>
        <v/>
      </c>
      <c r="F11" s="9">
        <f>SUMIFS(Budget!$T:$T,Budget!$A:$A,$A11)</f>
        <v/>
      </c>
      <c r="G11" s="9">
        <f>SUMIFS(Budget!$U:$U,Budget!$A:$A,$A11)</f>
        <v/>
      </c>
      <c r="H11" s="9">
        <f>SUMIFS(Budget!$V:$V,Budget!$A:$A,$A11)</f>
        <v/>
      </c>
      <c r="I11" s="9">
        <f>SUMIFS(Budget!$W:$W,Budget!$A:$A,$A11)</f>
        <v/>
      </c>
      <c r="J11" s="9">
        <f>SUMIFS(Budget!$X:$X,Budget!$A:$A,$A11)</f>
        <v/>
      </c>
      <c r="K11" s="9">
        <f>SUMIFS(Budget!$Y:$Y,Budget!$A:$A,$A11)</f>
        <v/>
      </c>
      <c r="L11" s="9">
        <f>SUMIFS(Budget!$Z:$Z,Budget!$A:$A,$A11)</f>
        <v/>
      </c>
      <c r="M11" s="9">
        <f>SUMIFS(Budget!$AA:$AA,Budget!$A:$A,$A11)</f>
        <v/>
      </c>
      <c r="N11" s="10">
        <f>SUM(B11:M11)</f>
        <v/>
      </c>
    </row>
    <row r="12">
      <c r="A12" s="5" t="inlineStr">
        <is>
          <t>Credit Card Collected - ONS</t>
        </is>
      </c>
      <c r="B12" s="9">
        <f>SUMIFS(Budget!$P:$P,Budget!$A:$A,$A12)</f>
        <v/>
      </c>
      <c r="C12" s="9">
        <f>SUMIFS(Budget!$Q:$Q,Budget!$A:$A,$A12)</f>
        <v/>
      </c>
      <c r="D12" s="9">
        <f>SUMIFS(Budget!$R:$R,Budget!$A:$A,$A12)</f>
        <v/>
      </c>
      <c r="E12" s="9">
        <f>SUMIFS(Budget!$S:$S,Budget!$A:$A,$A12)</f>
        <v/>
      </c>
      <c r="F12" s="9">
        <f>SUMIFS(Budget!$T:$T,Budget!$A:$A,$A12)</f>
        <v/>
      </c>
      <c r="G12" s="9">
        <f>SUMIFS(Budget!$U:$U,Budget!$A:$A,$A12)</f>
        <v/>
      </c>
      <c r="H12" s="9">
        <f>SUMIFS(Budget!$V:$V,Budget!$A:$A,$A12)</f>
        <v/>
      </c>
      <c r="I12" s="9">
        <f>SUMIFS(Budget!$W:$W,Budget!$A:$A,$A12)</f>
        <v/>
      </c>
      <c r="J12" s="9">
        <f>SUMIFS(Budget!$X:$X,Budget!$A:$A,$A12)</f>
        <v/>
      </c>
      <c r="K12" s="9">
        <f>SUMIFS(Budget!$Y:$Y,Budget!$A:$A,$A12)</f>
        <v/>
      </c>
      <c r="L12" s="9">
        <f>SUMIFS(Budget!$Z:$Z,Budget!$A:$A,$A12)</f>
        <v/>
      </c>
      <c r="M12" s="9">
        <f>SUMIFS(Budget!$AA:$AA,Budget!$A:$A,$A12)</f>
        <v/>
      </c>
      <c r="N12" s="10">
        <f>SUM(B12:M12)</f>
        <v/>
      </c>
    </row>
    <row r="13">
      <c r="A13" s="5" t="inlineStr">
        <is>
          <t>Credit Card Collected - PRD</t>
        </is>
      </c>
      <c r="B13" s="9">
        <f>SUMIFS(Budget!$P:$P,Budget!$A:$A,$A13)</f>
        <v/>
      </c>
      <c r="C13" s="9">
        <f>SUMIFS(Budget!$Q:$Q,Budget!$A:$A,$A13)</f>
        <v/>
      </c>
      <c r="D13" s="9">
        <f>SUMIFS(Budget!$R:$R,Budget!$A:$A,$A13)</f>
        <v/>
      </c>
      <c r="E13" s="9">
        <f>SUMIFS(Budget!$S:$S,Budget!$A:$A,$A13)</f>
        <v/>
      </c>
      <c r="F13" s="9">
        <f>SUMIFS(Budget!$T:$T,Budget!$A:$A,$A13)</f>
        <v/>
      </c>
      <c r="G13" s="9">
        <f>SUMIFS(Budget!$U:$U,Budget!$A:$A,$A13)</f>
        <v/>
      </c>
      <c r="H13" s="9">
        <f>SUMIFS(Budget!$V:$V,Budget!$A:$A,$A13)</f>
        <v/>
      </c>
      <c r="I13" s="9">
        <f>SUMIFS(Budget!$W:$W,Budget!$A:$A,$A13)</f>
        <v/>
      </c>
      <c r="J13" s="9">
        <f>SUMIFS(Budget!$X:$X,Budget!$A:$A,$A13)</f>
        <v/>
      </c>
      <c r="K13" s="9">
        <f>SUMIFS(Budget!$Y:$Y,Budget!$A:$A,$A13)</f>
        <v/>
      </c>
      <c r="L13" s="9">
        <f>SUMIFS(Budget!$Z:$Z,Budget!$A:$A,$A13)</f>
        <v/>
      </c>
      <c r="M13" s="9">
        <f>SUMIFS(Budget!$AA:$AA,Budget!$A:$A,$A13)</f>
        <v/>
      </c>
      <c r="N13" s="10">
        <f>SUM(B13:M13)</f>
        <v/>
      </c>
    </row>
    <row r="14">
      <c r="A14" s="5" t="inlineStr">
        <is>
          <t>Credit Card Collected - VID</t>
        </is>
      </c>
      <c r="B14" s="9">
        <f>SUMIFS(Budget!$P:$P,Budget!$A:$A,$A14)</f>
        <v/>
      </c>
      <c r="C14" s="9">
        <f>SUMIFS(Budget!$Q:$Q,Budget!$A:$A,$A14)</f>
        <v/>
      </c>
      <c r="D14" s="9">
        <f>SUMIFS(Budget!$R:$R,Budget!$A:$A,$A14)</f>
        <v/>
      </c>
      <c r="E14" s="9">
        <f>SUMIFS(Budget!$S:$S,Budget!$A:$A,$A14)</f>
        <v/>
      </c>
      <c r="F14" s="9">
        <f>SUMIFS(Budget!$T:$T,Budget!$A:$A,$A14)</f>
        <v/>
      </c>
      <c r="G14" s="9">
        <f>SUMIFS(Budget!$U:$U,Budget!$A:$A,$A14)</f>
        <v/>
      </c>
      <c r="H14" s="9">
        <f>SUMIFS(Budget!$V:$V,Budget!$A:$A,$A14)</f>
        <v/>
      </c>
      <c r="I14" s="9">
        <f>SUMIFS(Budget!$W:$W,Budget!$A:$A,$A14)</f>
        <v/>
      </c>
      <c r="J14" s="9">
        <f>SUMIFS(Budget!$X:$X,Budget!$A:$A,$A14)</f>
        <v/>
      </c>
      <c r="K14" s="9">
        <f>SUMIFS(Budget!$Y:$Y,Budget!$A:$A,$A14)</f>
        <v/>
      </c>
      <c r="L14" s="9">
        <f>SUMIFS(Budget!$Z:$Z,Budget!$A:$A,$A14)</f>
        <v/>
      </c>
      <c r="M14" s="9">
        <f>SUMIFS(Budget!$AA:$AA,Budget!$A:$A,$A14)</f>
        <v/>
      </c>
      <c r="N14" s="10">
        <f>SUM(B14:M14)</f>
        <v/>
      </c>
    </row>
    <row r="15">
      <c r="A15" s="5" t="inlineStr">
        <is>
          <t>Credit Card Collected-INTEGRATION</t>
        </is>
      </c>
      <c r="B15" s="9">
        <f>SUMIFS(Budget!$P:$P,Budget!$A:$A,$A15)</f>
        <v/>
      </c>
      <c r="C15" s="9">
        <f>SUMIFS(Budget!$Q:$Q,Budget!$A:$A,$A15)</f>
        <v/>
      </c>
      <c r="D15" s="9">
        <f>SUMIFS(Budget!$R:$R,Budget!$A:$A,$A15)</f>
        <v/>
      </c>
      <c r="E15" s="9">
        <f>SUMIFS(Budget!$S:$S,Budget!$A:$A,$A15)</f>
        <v/>
      </c>
      <c r="F15" s="9">
        <f>SUMIFS(Budget!$T:$T,Budget!$A:$A,$A15)</f>
        <v/>
      </c>
      <c r="G15" s="9">
        <f>SUMIFS(Budget!$U:$U,Budget!$A:$A,$A15)</f>
        <v/>
      </c>
      <c r="H15" s="9">
        <f>SUMIFS(Budget!$V:$V,Budget!$A:$A,$A15)</f>
        <v/>
      </c>
      <c r="I15" s="9">
        <f>SUMIFS(Budget!$W:$W,Budget!$A:$A,$A15)</f>
        <v/>
      </c>
      <c r="J15" s="9">
        <f>SUMIFS(Budget!$X:$X,Budget!$A:$A,$A15)</f>
        <v/>
      </c>
      <c r="K15" s="9">
        <f>SUMIFS(Budget!$Y:$Y,Budget!$A:$A,$A15)</f>
        <v/>
      </c>
      <c r="L15" s="9">
        <f>SUMIFS(Budget!$Z:$Z,Budget!$A:$A,$A15)</f>
        <v/>
      </c>
      <c r="M15" s="9">
        <f>SUMIFS(Budget!$AA:$AA,Budget!$A:$A,$A15)</f>
        <v/>
      </c>
      <c r="N15" s="10">
        <f>SUM(B15:M15)</f>
        <v/>
      </c>
    </row>
    <row r="16">
      <c r="A16" s="5" t="inlineStr">
        <is>
          <t>Credit Card Fees - ADMIN</t>
        </is>
      </c>
      <c r="B16" s="9">
        <f>SUMIFS(Budget!$P:$P,Budget!$A:$A,$A16)</f>
        <v/>
      </c>
      <c r="C16" s="9">
        <f>SUMIFS(Budget!$Q:$Q,Budget!$A:$A,$A16)</f>
        <v/>
      </c>
      <c r="D16" s="9">
        <f>SUMIFS(Budget!$R:$R,Budget!$A:$A,$A16)</f>
        <v/>
      </c>
      <c r="E16" s="9">
        <f>SUMIFS(Budget!$S:$S,Budget!$A:$A,$A16)</f>
        <v/>
      </c>
      <c r="F16" s="9">
        <f>SUMIFS(Budget!$T:$T,Budget!$A:$A,$A16)</f>
        <v/>
      </c>
      <c r="G16" s="9">
        <f>SUMIFS(Budget!$U:$U,Budget!$A:$A,$A16)</f>
        <v/>
      </c>
      <c r="H16" s="9">
        <f>SUMIFS(Budget!$V:$V,Budget!$A:$A,$A16)</f>
        <v/>
      </c>
      <c r="I16" s="9">
        <f>SUMIFS(Budget!$W:$W,Budget!$A:$A,$A16)</f>
        <v/>
      </c>
      <c r="J16" s="9">
        <f>SUMIFS(Budget!$X:$X,Budget!$A:$A,$A16)</f>
        <v/>
      </c>
      <c r="K16" s="9">
        <f>SUMIFS(Budget!$Y:$Y,Budget!$A:$A,$A16)</f>
        <v/>
      </c>
      <c r="L16" s="9">
        <f>SUMIFS(Budget!$Z:$Z,Budget!$A:$A,$A16)</f>
        <v/>
      </c>
      <c r="M16" s="9">
        <f>SUMIFS(Budget!$AA:$AA,Budget!$A:$A,$A16)</f>
        <v/>
      </c>
      <c r="N16" s="10">
        <f>SUM(B16:M16)</f>
        <v/>
      </c>
    </row>
    <row r="17">
      <c r="A17" s="5" t="inlineStr">
        <is>
          <t>Equipment Hires</t>
        </is>
      </c>
      <c r="B17" s="9">
        <f>SUMIFS(Budget!$P:$P,Budget!$A:$A,$A17)</f>
        <v/>
      </c>
      <c r="C17" s="9">
        <f>SUMIFS(Budget!$Q:$Q,Budget!$A:$A,$A17)</f>
        <v/>
      </c>
      <c r="D17" s="9">
        <f>SUMIFS(Budget!$R:$R,Budget!$A:$A,$A17)</f>
        <v/>
      </c>
      <c r="E17" s="9">
        <f>SUMIFS(Budget!$S:$S,Budget!$A:$A,$A17)</f>
        <v/>
      </c>
      <c r="F17" s="9">
        <f>SUMIFS(Budget!$T:$T,Budget!$A:$A,$A17)</f>
        <v/>
      </c>
      <c r="G17" s="9">
        <f>SUMIFS(Budget!$U:$U,Budget!$A:$A,$A17)</f>
        <v/>
      </c>
      <c r="H17" s="9">
        <f>SUMIFS(Budget!$V:$V,Budget!$A:$A,$A17)</f>
        <v/>
      </c>
      <c r="I17" s="9">
        <f>SUMIFS(Budget!$W:$W,Budget!$A:$A,$A17)</f>
        <v/>
      </c>
      <c r="J17" s="9">
        <f>SUMIFS(Budget!$X:$X,Budget!$A:$A,$A17)</f>
        <v/>
      </c>
      <c r="K17" s="9">
        <f>SUMIFS(Budget!$Y:$Y,Budget!$A:$A,$A17)</f>
        <v/>
      </c>
      <c r="L17" s="9">
        <f>SUMIFS(Budget!$Z:$Z,Budget!$A:$A,$A17)</f>
        <v/>
      </c>
      <c r="M17" s="9">
        <f>SUMIFS(Budget!$AA:$AA,Budget!$A:$A,$A17)</f>
        <v/>
      </c>
      <c r="N17" s="10">
        <f>SUM(B17:M17)</f>
        <v/>
      </c>
    </row>
    <row r="18">
      <c r="A18" s="5" t="inlineStr">
        <is>
          <t>Equipment Sales</t>
        </is>
      </c>
      <c r="B18" s="9">
        <f>SUMIFS(Budget!$P:$P,Budget!$A:$A,$A18)</f>
        <v/>
      </c>
      <c r="C18" s="9">
        <f>SUMIFS(Budget!$Q:$Q,Budget!$A:$A,$A18)</f>
        <v/>
      </c>
      <c r="D18" s="9">
        <f>SUMIFS(Budget!$R:$R,Budget!$A:$A,$A18)</f>
        <v/>
      </c>
      <c r="E18" s="9">
        <f>SUMIFS(Budget!$S:$S,Budget!$A:$A,$A18)</f>
        <v/>
      </c>
      <c r="F18" s="9">
        <f>SUMIFS(Budget!$T:$T,Budget!$A:$A,$A18)</f>
        <v/>
      </c>
      <c r="G18" s="9">
        <f>SUMIFS(Budget!$U:$U,Budget!$A:$A,$A18)</f>
        <v/>
      </c>
      <c r="H18" s="9">
        <f>SUMIFS(Budget!$V:$V,Budget!$A:$A,$A18)</f>
        <v/>
      </c>
      <c r="I18" s="9">
        <f>SUMIFS(Budget!$W:$W,Budget!$A:$A,$A18)</f>
        <v/>
      </c>
      <c r="J18" s="9">
        <f>SUMIFS(Budget!$X:$X,Budget!$A:$A,$A18)</f>
        <v/>
      </c>
      <c r="K18" s="9">
        <f>SUMIFS(Budget!$Y:$Y,Budget!$A:$A,$A18)</f>
        <v/>
      </c>
      <c r="L18" s="9">
        <f>SUMIFS(Budget!$Z:$Z,Budget!$A:$A,$A18)</f>
        <v/>
      </c>
      <c r="M18" s="9">
        <f>SUMIFS(Budget!$AA:$AA,Budget!$A:$A,$A18)</f>
        <v/>
      </c>
      <c r="N18" s="10">
        <f>SUM(B18:M18)</f>
        <v/>
      </c>
    </row>
    <row r="19">
      <c r="A19" s="5" t="inlineStr">
        <is>
          <t>Freight &amp; Travel - ADMIN</t>
        </is>
      </c>
      <c r="B19" s="9">
        <f>SUMIFS(Budget!$P:$P,Budget!$A:$A,$A19)</f>
        <v/>
      </c>
      <c r="C19" s="9">
        <f>SUMIFS(Budget!$Q:$Q,Budget!$A:$A,$A19)</f>
        <v/>
      </c>
      <c r="D19" s="9">
        <f>SUMIFS(Budget!$R:$R,Budget!$A:$A,$A19)</f>
        <v/>
      </c>
      <c r="E19" s="9">
        <f>SUMIFS(Budget!$S:$S,Budget!$A:$A,$A19)</f>
        <v/>
      </c>
      <c r="F19" s="9">
        <f>SUMIFS(Budget!$T:$T,Budget!$A:$A,$A19)</f>
        <v/>
      </c>
      <c r="G19" s="9">
        <f>SUMIFS(Budget!$U:$U,Budget!$A:$A,$A19)</f>
        <v/>
      </c>
      <c r="H19" s="9">
        <f>SUMIFS(Budget!$V:$V,Budget!$A:$A,$A19)</f>
        <v/>
      </c>
      <c r="I19" s="9">
        <f>SUMIFS(Budget!$W:$W,Budget!$A:$A,$A19)</f>
        <v/>
      </c>
      <c r="J19" s="9">
        <f>SUMIFS(Budget!$X:$X,Budget!$A:$A,$A19)</f>
        <v/>
      </c>
      <c r="K19" s="9">
        <f>SUMIFS(Budget!$Y:$Y,Budget!$A:$A,$A19)</f>
        <v/>
      </c>
      <c r="L19" s="9">
        <f>SUMIFS(Budget!$Z:$Z,Budget!$A:$A,$A19)</f>
        <v/>
      </c>
      <c r="M19" s="9">
        <f>SUMIFS(Budget!$AA:$AA,Budget!$A:$A,$A19)</f>
        <v/>
      </c>
      <c r="N19" s="10">
        <f>SUM(B19:M19)</f>
        <v/>
      </c>
    </row>
    <row r="20">
      <c r="A20" s="5" t="inlineStr">
        <is>
          <t>Freight &amp; Travel - CONS</t>
        </is>
      </c>
      <c r="B20" s="9">
        <f>SUMIFS(Budget!$P:$P,Budget!$A:$A,$A20)</f>
        <v/>
      </c>
      <c r="C20" s="9">
        <f>SUMIFS(Budget!$Q:$Q,Budget!$A:$A,$A20)</f>
        <v/>
      </c>
      <c r="D20" s="9">
        <f>SUMIFS(Budget!$R:$R,Budget!$A:$A,$A20)</f>
        <v/>
      </c>
      <c r="E20" s="9">
        <f>SUMIFS(Budget!$S:$S,Budget!$A:$A,$A20)</f>
        <v/>
      </c>
      <c r="F20" s="9">
        <f>SUMIFS(Budget!$T:$T,Budget!$A:$A,$A20)</f>
        <v/>
      </c>
      <c r="G20" s="9">
        <f>SUMIFS(Budget!$U:$U,Budget!$A:$A,$A20)</f>
        <v/>
      </c>
      <c r="H20" s="9">
        <f>SUMIFS(Budget!$V:$V,Budget!$A:$A,$A20)</f>
        <v/>
      </c>
      <c r="I20" s="9">
        <f>SUMIFS(Budget!$W:$W,Budget!$A:$A,$A20)</f>
        <v/>
      </c>
      <c r="J20" s="9">
        <f>SUMIFS(Budget!$X:$X,Budget!$A:$A,$A20)</f>
        <v/>
      </c>
      <c r="K20" s="9">
        <f>SUMIFS(Budget!$Y:$Y,Budget!$A:$A,$A20)</f>
        <v/>
      </c>
      <c r="L20" s="9">
        <f>SUMIFS(Budget!$Z:$Z,Budget!$A:$A,$A20)</f>
        <v/>
      </c>
      <c r="M20" s="9">
        <f>SUMIFS(Budget!$AA:$AA,Budget!$A:$A,$A20)</f>
        <v/>
      </c>
      <c r="N20" s="10">
        <f>SUM(B20:M20)</f>
        <v/>
      </c>
    </row>
    <row r="21">
      <c r="A21" s="5" t="inlineStr">
        <is>
          <t>Freight &amp; Travel - INTEGRATION</t>
        </is>
      </c>
      <c r="B21" s="9">
        <f>SUMIFS(Budget!$P:$P,Budget!$A:$A,$A21)</f>
        <v/>
      </c>
      <c r="C21" s="9">
        <f>SUMIFS(Budget!$Q:$Q,Budget!$A:$A,$A21)</f>
        <v/>
      </c>
      <c r="D21" s="9">
        <f>SUMIFS(Budget!$R:$R,Budget!$A:$A,$A21)</f>
        <v/>
      </c>
      <c r="E21" s="9">
        <f>SUMIFS(Budget!$S:$S,Budget!$A:$A,$A21)</f>
        <v/>
      </c>
      <c r="F21" s="9">
        <f>SUMIFS(Budget!$T:$T,Budget!$A:$A,$A21)</f>
        <v/>
      </c>
      <c r="G21" s="9">
        <f>SUMIFS(Budget!$U:$U,Budget!$A:$A,$A21)</f>
        <v/>
      </c>
      <c r="H21" s="9">
        <f>SUMIFS(Budget!$V:$V,Budget!$A:$A,$A21)</f>
        <v/>
      </c>
      <c r="I21" s="9">
        <f>SUMIFS(Budget!$W:$W,Budget!$A:$A,$A21)</f>
        <v/>
      </c>
      <c r="J21" s="9">
        <f>SUMIFS(Budget!$X:$X,Budget!$A:$A,$A21)</f>
        <v/>
      </c>
      <c r="K21" s="9">
        <f>SUMIFS(Budget!$Y:$Y,Budget!$A:$A,$A21)</f>
        <v/>
      </c>
      <c r="L21" s="9">
        <f>SUMIFS(Budget!$Z:$Z,Budget!$A:$A,$A21)</f>
        <v/>
      </c>
      <c r="M21" s="9">
        <f>SUMIFS(Budget!$AA:$AA,Budget!$A:$A,$A21)</f>
        <v/>
      </c>
      <c r="N21" s="10">
        <f>SUM(B21:M21)</f>
        <v/>
      </c>
    </row>
    <row r="22">
      <c r="A22" s="5" t="inlineStr">
        <is>
          <t>Freight &amp; Travel - ONS</t>
        </is>
      </c>
      <c r="B22" s="9">
        <f>SUMIFS(Budget!$P:$P,Budget!$A:$A,$A22)</f>
        <v/>
      </c>
      <c r="C22" s="9">
        <f>SUMIFS(Budget!$Q:$Q,Budget!$A:$A,$A22)</f>
        <v/>
      </c>
      <c r="D22" s="9">
        <f>SUMIFS(Budget!$R:$R,Budget!$A:$A,$A22)</f>
        <v/>
      </c>
      <c r="E22" s="9">
        <f>SUMIFS(Budget!$S:$S,Budget!$A:$A,$A22)</f>
        <v/>
      </c>
      <c r="F22" s="9">
        <f>SUMIFS(Budget!$T:$T,Budget!$A:$A,$A22)</f>
        <v/>
      </c>
      <c r="G22" s="9">
        <f>SUMIFS(Budget!$U:$U,Budget!$A:$A,$A22)</f>
        <v/>
      </c>
      <c r="H22" s="9">
        <f>SUMIFS(Budget!$V:$V,Budget!$A:$A,$A22)</f>
        <v/>
      </c>
      <c r="I22" s="9">
        <f>SUMIFS(Budget!$W:$W,Budget!$A:$A,$A22)</f>
        <v/>
      </c>
      <c r="J22" s="9">
        <f>SUMIFS(Budget!$X:$X,Budget!$A:$A,$A22)</f>
        <v/>
      </c>
      <c r="K22" s="9">
        <f>SUMIFS(Budget!$Y:$Y,Budget!$A:$A,$A22)</f>
        <v/>
      </c>
      <c r="L22" s="9">
        <f>SUMIFS(Budget!$Z:$Z,Budget!$A:$A,$A22)</f>
        <v/>
      </c>
      <c r="M22" s="9">
        <f>SUMIFS(Budget!$AA:$AA,Budget!$A:$A,$A22)</f>
        <v/>
      </c>
      <c r="N22" s="10">
        <f>SUM(B22:M22)</f>
        <v/>
      </c>
    </row>
    <row r="23">
      <c r="A23" s="5" t="inlineStr">
        <is>
          <t>Freight &amp; Travel - PRD</t>
        </is>
      </c>
      <c r="B23" s="9">
        <f>SUMIFS(Budget!$P:$P,Budget!$A:$A,$A23)</f>
        <v/>
      </c>
      <c r="C23" s="9">
        <f>SUMIFS(Budget!$Q:$Q,Budget!$A:$A,$A23)</f>
        <v/>
      </c>
      <c r="D23" s="9">
        <f>SUMIFS(Budget!$R:$R,Budget!$A:$A,$A23)</f>
        <v/>
      </c>
      <c r="E23" s="9">
        <f>SUMIFS(Budget!$S:$S,Budget!$A:$A,$A23)</f>
        <v/>
      </c>
      <c r="F23" s="9">
        <f>SUMIFS(Budget!$T:$T,Budget!$A:$A,$A23)</f>
        <v/>
      </c>
      <c r="G23" s="9">
        <f>SUMIFS(Budget!$U:$U,Budget!$A:$A,$A23)</f>
        <v/>
      </c>
      <c r="H23" s="9">
        <f>SUMIFS(Budget!$V:$V,Budget!$A:$A,$A23)</f>
        <v/>
      </c>
      <c r="I23" s="9">
        <f>SUMIFS(Budget!$W:$W,Budget!$A:$A,$A23)</f>
        <v/>
      </c>
      <c r="J23" s="9">
        <f>SUMIFS(Budget!$X:$X,Budget!$A:$A,$A23)</f>
        <v/>
      </c>
      <c r="K23" s="9">
        <f>SUMIFS(Budget!$Y:$Y,Budget!$A:$A,$A23)</f>
        <v/>
      </c>
      <c r="L23" s="9">
        <f>SUMIFS(Budget!$Z:$Z,Budget!$A:$A,$A23)</f>
        <v/>
      </c>
      <c r="M23" s="9">
        <f>SUMIFS(Budget!$AA:$AA,Budget!$A:$A,$A23)</f>
        <v/>
      </c>
      <c r="N23" s="10">
        <f>SUM(B23:M23)</f>
        <v/>
      </c>
    </row>
    <row r="24">
      <c r="A24" s="5" t="inlineStr">
        <is>
          <t>Freight &amp; Travel - VID</t>
        </is>
      </c>
      <c r="B24" s="9">
        <f>SUMIFS(Budget!$P:$P,Budget!$A:$A,$A24)</f>
        <v/>
      </c>
      <c r="C24" s="9">
        <f>SUMIFS(Budget!$Q:$Q,Budget!$A:$A,$A24)</f>
        <v/>
      </c>
      <c r="D24" s="9">
        <f>SUMIFS(Budget!$R:$R,Budget!$A:$A,$A24)</f>
        <v/>
      </c>
      <c r="E24" s="9">
        <f>SUMIFS(Budget!$S:$S,Budget!$A:$A,$A24)</f>
        <v/>
      </c>
      <c r="F24" s="9">
        <f>SUMIFS(Budget!$T:$T,Budget!$A:$A,$A24)</f>
        <v/>
      </c>
      <c r="G24" s="9">
        <f>SUMIFS(Budget!$U:$U,Budget!$A:$A,$A24)</f>
        <v/>
      </c>
      <c r="H24" s="9">
        <f>SUMIFS(Budget!$V:$V,Budget!$A:$A,$A24)</f>
        <v/>
      </c>
      <c r="I24" s="9">
        <f>SUMIFS(Budget!$W:$W,Budget!$A:$A,$A24)</f>
        <v/>
      </c>
      <c r="J24" s="9">
        <f>SUMIFS(Budget!$X:$X,Budget!$A:$A,$A24)</f>
        <v/>
      </c>
      <c r="K24" s="9">
        <f>SUMIFS(Budget!$Y:$Y,Budget!$A:$A,$A24)</f>
        <v/>
      </c>
      <c r="L24" s="9">
        <f>SUMIFS(Budget!$Z:$Z,Budget!$A:$A,$A24)</f>
        <v/>
      </c>
      <c r="M24" s="9">
        <f>SUMIFS(Budget!$AA:$AA,Budget!$A:$A,$A24)</f>
        <v/>
      </c>
      <c r="N24" s="10">
        <f>SUM(B24:M24)</f>
        <v/>
      </c>
    </row>
    <row r="25">
      <c r="A25" s="5" t="inlineStr">
        <is>
          <t>Installation Labour</t>
        </is>
      </c>
      <c r="B25" s="9">
        <f>SUMIFS(Budget!$P:$P,Budget!$A:$A,$A25)</f>
        <v/>
      </c>
      <c r="C25" s="9">
        <f>SUMIFS(Budget!$Q:$Q,Budget!$A:$A,$A25)</f>
        <v/>
      </c>
      <c r="D25" s="9">
        <f>SUMIFS(Budget!$R:$R,Budget!$A:$A,$A25)</f>
        <v/>
      </c>
      <c r="E25" s="9">
        <f>SUMIFS(Budget!$S:$S,Budget!$A:$A,$A25)</f>
        <v/>
      </c>
      <c r="F25" s="9">
        <f>SUMIFS(Budget!$T:$T,Budget!$A:$A,$A25)</f>
        <v/>
      </c>
      <c r="G25" s="9">
        <f>SUMIFS(Budget!$U:$U,Budget!$A:$A,$A25)</f>
        <v/>
      </c>
      <c r="H25" s="9">
        <f>SUMIFS(Budget!$V:$V,Budget!$A:$A,$A25)</f>
        <v/>
      </c>
      <c r="I25" s="9">
        <f>SUMIFS(Budget!$W:$W,Budget!$A:$A,$A25)</f>
        <v/>
      </c>
      <c r="J25" s="9">
        <f>SUMIFS(Budget!$X:$X,Budget!$A:$A,$A25)</f>
        <v/>
      </c>
      <c r="K25" s="9">
        <f>SUMIFS(Budget!$Y:$Y,Budget!$A:$A,$A25)</f>
        <v/>
      </c>
      <c r="L25" s="9">
        <f>SUMIFS(Budget!$Z:$Z,Budget!$A:$A,$A25)</f>
        <v/>
      </c>
      <c r="M25" s="9">
        <f>SUMIFS(Budget!$AA:$AA,Budget!$A:$A,$A25)</f>
        <v/>
      </c>
      <c r="N25" s="10">
        <f>SUM(B25:M25)</f>
        <v/>
      </c>
    </row>
    <row r="26">
      <c r="A26" s="5" t="inlineStr">
        <is>
          <t>Meal &amp; Travel - ADMIN</t>
        </is>
      </c>
      <c r="B26" s="9">
        <f>SUMIFS(Budget!$P:$P,Budget!$A:$A,$A26)</f>
        <v/>
      </c>
      <c r="C26" s="9">
        <f>SUMIFS(Budget!$Q:$Q,Budget!$A:$A,$A26)</f>
        <v/>
      </c>
      <c r="D26" s="9">
        <f>SUMIFS(Budget!$R:$R,Budget!$A:$A,$A26)</f>
        <v/>
      </c>
      <c r="E26" s="9">
        <f>SUMIFS(Budget!$S:$S,Budget!$A:$A,$A26)</f>
        <v/>
      </c>
      <c r="F26" s="9">
        <f>SUMIFS(Budget!$T:$T,Budget!$A:$A,$A26)</f>
        <v/>
      </c>
      <c r="G26" s="9">
        <f>SUMIFS(Budget!$U:$U,Budget!$A:$A,$A26)</f>
        <v/>
      </c>
      <c r="H26" s="9">
        <f>SUMIFS(Budget!$V:$V,Budget!$A:$A,$A26)</f>
        <v/>
      </c>
      <c r="I26" s="9">
        <f>SUMIFS(Budget!$W:$W,Budget!$A:$A,$A26)</f>
        <v/>
      </c>
      <c r="J26" s="9">
        <f>SUMIFS(Budget!$X:$X,Budget!$A:$A,$A26)</f>
        <v/>
      </c>
      <c r="K26" s="9">
        <f>SUMIFS(Budget!$Y:$Y,Budget!$A:$A,$A26)</f>
        <v/>
      </c>
      <c r="L26" s="9">
        <f>SUMIFS(Budget!$Z:$Z,Budget!$A:$A,$A26)</f>
        <v/>
      </c>
      <c r="M26" s="9">
        <f>SUMIFS(Budget!$AA:$AA,Budget!$A:$A,$A26)</f>
        <v/>
      </c>
      <c r="N26" s="10">
        <f>SUM(B26:M26)</f>
        <v/>
      </c>
    </row>
    <row r="27">
      <c r="A27" s="5" t="inlineStr">
        <is>
          <t>Meal &amp; Travel - CONS</t>
        </is>
      </c>
      <c r="B27" s="9">
        <f>SUMIFS(Budget!$P:$P,Budget!$A:$A,$A27)</f>
        <v/>
      </c>
      <c r="C27" s="9">
        <f>SUMIFS(Budget!$Q:$Q,Budget!$A:$A,$A27)</f>
        <v/>
      </c>
      <c r="D27" s="9">
        <f>SUMIFS(Budget!$R:$R,Budget!$A:$A,$A27)</f>
        <v/>
      </c>
      <c r="E27" s="9">
        <f>SUMIFS(Budget!$S:$S,Budget!$A:$A,$A27)</f>
        <v/>
      </c>
      <c r="F27" s="9">
        <f>SUMIFS(Budget!$T:$T,Budget!$A:$A,$A27)</f>
        <v/>
      </c>
      <c r="G27" s="9">
        <f>SUMIFS(Budget!$U:$U,Budget!$A:$A,$A27)</f>
        <v/>
      </c>
      <c r="H27" s="9">
        <f>SUMIFS(Budget!$V:$V,Budget!$A:$A,$A27)</f>
        <v/>
      </c>
      <c r="I27" s="9">
        <f>SUMIFS(Budget!$W:$W,Budget!$A:$A,$A27)</f>
        <v/>
      </c>
      <c r="J27" s="9">
        <f>SUMIFS(Budget!$X:$X,Budget!$A:$A,$A27)</f>
        <v/>
      </c>
      <c r="K27" s="9">
        <f>SUMIFS(Budget!$Y:$Y,Budget!$A:$A,$A27)</f>
        <v/>
      </c>
      <c r="L27" s="9">
        <f>SUMIFS(Budget!$Z:$Z,Budget!$A:$A,$A27)</f>
        <v/>
      </c>
      <c r="M27" s="9">
        <f>SUMIFS(Budget!$AA:$AA,Budget!$A:$A,$A27)</f>
        <v/>
      </c>
      <c r="N27" s="10">
        <f>SUM(B27:M27)</f>
        <v/>
      </c>
    </row>
    <row r="28">
      <c r="A28" s="5" t="inlineStr">
        <is>
          <t>Meal &amp; Travel - INTEGRATION</t>
        </is>
      </c>
      <c r="B28" s="9">
        <f>SUMIFS(Budget!$P:$P,Budget!$A:$A,$A28)</f>
        <v/>
      </c>
      <c r="C28" s="9">
        <f>SUMIFS(Budget!$Q:$Q,Budget!$A:$A,$A28)</f>
        <v/>
      </c>
      <c r="D28" s="9">
        <f>SUMIFS(Budget!$R:$R,Budget!$A:$A,$A28)</f>
        <v/>
      </c>
      <c r="E28" s="9">
        <f>SUMIFS(Budget!$S:$S,Budget!$A:$A,$A28)</f>
        <v/>
      </c>
      <c r="F28" s="9">
        <f>SUMIFS(Budget!$T:$T,Budget!$A:$A,$A28)</f>
        <v/>
      </c>
      <c r="G28" s="9">
        <f>SUMIFS(Budget!$U:$U,Budget!$A:$A,$A28)</f>
        <v/>
      </c>
      <c r="H28" s="9">
        <f>SUMIFS(Budget!$V:$V,Budget!$A:$A,$A28)</f>
        <v/>
      </c>
      <c r="I28" s="9">
        <f>SUMIFS(Budget!$W:$W,Budget!$A:$A,$A28)</f>
        <v/>
      </c>
      <c r="J28" s="9">
        <f>SUMIFS(Budget!$X:$X,Budget!$A:$A,$A28)</f>
        <v/>
      </c>
      <c r="K28" s="9">
        <f>SUMIFS(Budget!$Y:$Y,Budget!$A:$A,$A28)</f>
        <v/>
      </c>
      <c r="L28" s="9">
        <f>SUMIFS(Budget!$Z:$Z,Budget!$A:$A,$A28)</f>
        <v/>
      </c>
      <c r="M28" s="9">
        <f>SUMIFS(Budget!$AA:$AA,Budget!$A:$A,$A28)</f>
        <v/>
      </c>
      <c r="N28" s="10">
        <f>SUM(B28:M28)</f>
        <v/>
      </c>
    </row>
    <row r="29">
      <c r="A29" s="5" t="inlineStr">
        <is>
          <t>Meal &amp; Travel - ONS</t>
        </is>
      </c>
      <c r="B29" s="9">
        <f>SUMIFS(Budget!$P:$P,Budget!$A:$A,$A29)</f>
        <v/>
      </c>
      <c r="C29" s="9">
        <f>SUMIFS(Budget!$Q:$Q,Budget!$A:$A,$A29)</f>
        <v/>
      </c>
      <c r="D29" s="9">
        <f>SUMIFS(Budget!$R:$R,Budget!$A:$A,$A29)</f>
        <v/>
      </c>
      <c r="E29" s="9">
        <f>SUMIFS(Budget!$S:$S,Budget!$A:$A,$A29)</f>
        <v/>
      </c>
      <c r="F29" s="9">
        <f>SUMIFS(Budget!$T:$T,Budget!$A:$A,$A29)</f>
        <v/>
      </c>
      <c r="G29" s="9">
        <f>SUMIFS(Budget!$U:$U,Budget!$A:$A,$A29)</f>
        <v/>
      </c>
      <c r="H29" s="9">
        <f>SUMIFS(Budget!$V:$V,Budget!$A:$A,$A29)</f>
        <v/>
      </c>
      <c r="I29" s="9">
        <f>SUMIFS(Budget!$W:$W,Budget!$A:$A,$A29)</f>
        <v/>
      </c>
      <c r="J29" s="9">
        <f>SUMIFS(Budget!$X:$X,Budget!$A:$A,$A29)</f>
        <v/>
      </c>
      <c r="K29" s="9">
        <f>SUMIFS(Budget!$Y:$Y,Budget!$A:$A,$A29)</f>
        <v/>
      </c>
      <c r="L29" s="9">
        <f>SUMIFS(Budget!$Z:$Z,Budget!$A:$A,$A29)</f>
        <v/>
      </c>
      <c r="M29" s="9">
        <f>SUMIFS(Budget!$AA:$AA,Budget!$A:$A,$A29)</f>
        <v/>
      </c>
      <c r="N29" s="10">
        <f>SUM(B29:M29)</f>
        <v/>
      </c>
    </row>
    <row r="30">
      <c r="A30" s="5" t="inlineStr">
        <is>
          <t>Meal &amp; Travel - PRD</t>
        </is>
      </c>
      <c r="B30" s="9">
        <f>SUMIFS(Budget!$P:$P,Budget!$A:$A,$A30)</f>
        <v/>
      </c>
      <c r="C30" s="9">
        <f>SUMIFS(Budget!$Q:$Q,Budget!$A:$A,$A30)</f>
        <v/>
      </c>
      <c r="D30" s="9">
        <f>SUMIFS(Budget!$R:$R,Budget!$A:$A,$A30)</f>
        <v/>
      </c>
      <c r="E30" s="9">
        <f>SUMIFS(Budget!$S:$S,Budget!$A:$A,$A30)</f>
        <v/>
      </c>
      <c r="F30" s="9">
        <f>SUMIFS(Budget!$T:$T,Budget!$A:$A,$A30)</f>
        <v/>
      </c>
      <c r="G30" s="9">
        <f>SUMIFS(Budget!$U:$U,Budget!$A:$A,$A30)</f>
        <v/>
      </c>
      <c r="H30" s="9">
        <f>SUMIFS(Budget!$V:$V,Budget!$A:$A,$A30)</f>
        <v/>
      </c>
      <c r="I30" s="9">
        <f>SUMIFS(Budget!$W:$W,Budget!$A:$A,$A30)</f>
        <v/>
      </c>
      <c r="J30" s="9">
        <f>SUMIFS(Budget!$X:$X,Budget!$A:$A,$A30)</f>
        <v/>
      </c>
      <c r="K30" s="9">
        <f>SUMIFS(Budget!$Y:$Y,Budget!$A:$A,$A30)</f>
        <v/>
      </c>
      <c r="L30" s="9">
        <f>SUMIFS(Budget!$Z:$Z,Budget!$A:$A,$A30)</f>
        <v/>
      </c>
      <c r="M30" s="9">
        <f>SUMIFS(Budget!$AA:$AA,Budget!$A:$A,$A30)</f>
        <v/>
      </c>
      <c r="N30" s="10">
        <f>SUM(B30:M30)</f>
        <v/>
      </c>
    </row>
    <row r="31">
      <c r="A31" s="5" t="inlineStr">
        <is>
          <t>Meal &amp; Travel - VID</t>
        </is>
      </c>
      <c r="B31" s="9">
        <f>SUMIFS(Budget!$P:$P,Budget!$A:$A,$A31)</f>
        <v/>
      </c>
      <c r="C31" s="9">
        <f>SUMIFS(Budget!$Q:$Q,Budget!$A:$A,$A31)</f>
        <v/>
      </c>
      <c r="D31" s="9">
        <f>SUMIFS(Budget!$R:$R,Budget!$A:$A,$A31)</f>
        <v/>
      </c>
      <c r="E31" s="9">
        <f>SUMIFS(Budget!$S:$S,Budget!$A:$A,$A31)</f>
        <v/>
      </c>
      <c r="F31" s="9">
        <f>SUMIFS(Budget!$T:$T,Budget!$A:$A,$A31)</f>
        <v/>
      </c>
      <c r="G31" s="9">
        <f>SUMIFS(Budget!$U:$U,Budget!$A:$A,$A31)</f>
        <v/>
      </c>
      <c r="H31" s="9">
        <f>SUMIFS(Budget!$V:$V,Budget!$A:$A,$A31)</f>
        <v/>
      </c>
      <c r="I31" s="9">
        <f>SUMIFS(Budget!$W:$W,Budget!$A:$A,$A31)</f>
        <v/>
      </c>
      <c r="J31" s="9">
        <f>SUMIFS(Budget!$X:$X,Budget!$A:$A,$A31)</f>
        <v/>
      </c>
      <c r="K31" s="9">
        <f>SUMIFS(Budget!$Y:$Y,Budget!$A:$A,$A31)</f>
        <v/>
      </c>
      <c r="L31" s="9">
        <f>SUMIFS(Budget!$Z:$Z,Budget!$A:$A,$A31)</f>
        <v/>
      </c>
      <c r="M31" s="9">
        <f>SUMIFS(Budget!$AA:$AA,Budget!$A:$A,$A31)</f>
        <v/>
      </c>
      <c r="N31" s="10">
        <f>SUM(B31:M31)</f>
        <v/>
      </c>
    </row>
    <row r="32">
      <c r="A32" s="5" t="inlineStr">
        <is>
          <t>Miscellaneous Income</t>
        </is>
      </c>
      <c r="B32" s="9">
        <f>SUMIFS(Budget!$P:$P,Budget!$A:$A,$A32)</f>
        <v/>
      </c>
      <c r="C32" s="9">
        <f>SUMIFS(Budget!$Q:$Q,Budget!$A:$A,$A32)</f>
        <v/>
      </c>
      <c r="D32" s="9">
        <f>SUMIFS(Budget!$R:$R,Budget!$A:$A,$A32)</f>
        <v/>
      </c>
      <c r="E32" s="9">
        <f>SUMIFS(Budget!$S:$S,Budget!$A:$A,$A32)</f>
        <v/>
      </c>
      <c r="F32" s="9">
        <f>SUMIFS(Budget!$T:$T,Budget!$A:$A,$A32)</f>
        <v/>
      </c>
      <c r="G32" s="9">
        <f>SUMIFS(Budget!$U:$U,Budget!$A:$A,$A32)</f>
        <v/>
      </c>
      <c r="H32" s="9">
        <f>SUMIFS(Budget!$V:$V,Budget!$A:$A,$A32)</f>
        <v/>
      </c>
      <c r="I32" s="9">
        <f>SUMIFS(Budget!$W:$W,Budget!$A:$A,$A32)</f>
        <v/>
      </c>
      <c r="J32" s="9">
        <f>SUMIFS(Budget!$X:$X,Budget!$A:$A,$A32)</f>
        <v/>
      </c>
      <c r="K32" s="9">
        <f>SUMIFS(Budget!$Y:$Y,Budget!$A:$A,$A32)</f>
        <v/>
      </c>
      <c r="L32" s="9">
        <f>SUMIFS(Budget!$Z:$Z,Budget!$A:$A,$A32)</f>
        <v/>
      </c>
      <c r="M32" s="9">
        <f>SUMIFS(Budget!$AA:$AA,Budget!$A:$A,$A32)</f>
        <v/>
      </c>
      <c r="N32" s="10">
        <f>SUM(B32:M32)</f>
        <v/>
      </c>
    </row>
    <row r="33">
      <c r="A33" s="5" t="inlineStr">
        <is>
          <t>Mobile Phone Plans</t>
        </is>
      </c>
      <c r="B33" s="9">
        <f>SUMIFS(Budget!$P:$P,Budget!$A:$A,$A33)</f>
        <v/>
      </c>
      <c r="C33" s="9">
        <f>SUMIFS(Budget!$Q:$Q,Budget!$A:$A,$A33)</f>
        <v/>
      </c>
      <c r="D33" s="9">
        <f>SUMIFS(Budget!$R:$R,Budget!$A:$A,$A33)</f>
        <v/>
      </c>
      <c r="E33" s="9">
        <f>SUMIFS(Budget!$S:$S,Budget!$A:$A,$A33)</f>
        <v/>
      </c>
      <c r="F33" s="9">
        <f>SUMIFS(Budget!$T:$T,Budget!$A:$A,$A33)</f>
        <v/>
      </c>
      <c r="G33" s="9">
        <f>SUMIFS(Budget!$U:$U,Budget!$A:$A,$A33)</f>
        <v/>
      </c>
      <c r="H33" s="9">
        <f>SUMIFS(Budget!$V:$V,Budget!$A:$A,$A33)</f>
        <v/>
      </c>
      <c r="I33" s="9">
        <f>SUMIFS(Budget!$W:$W,Budget!$A:$A,$A33)</f>
        <v/>
      </c>
      <c r="J33" s="9">
        <f>SUMIFS(Budget!$X:$X,Budget!$A:$A,$A33)</f>
        <v/>
      </c>
      <c r="K33" s="9">
        <f>SUMIFS(Budget!$Y:$Y,Budget!$A:$A,$A33)</f>
        <v/>
      </c>
      <c r="L33" s="9">
        <f>SUMIFS(Budget!$Z:$Z,Budget!$A:$A,$A33)</f>
        <v/>
      </c>
      <c r="M33" s="9">
        <f>SUMIFS(Budget!$AA:$AA,Budget!$A:$A,$A33)</f>
        <v/>
      </c>
      <c r="N33" s="10">
        <f>SUM(B33:M33)</f>
        <v/>
      </c>
    </row>
    <row r="34">
      <c r="A34" s="5" t="inlineStr">
        <is>
          <t>Opening Work in Progress</t>
        </is>
      </c>
      <c r="B34" s="9">
        <f>SUMIFS(Budget!$P:$P,Budget!$A:$A,$A34)</f>
        <v/>
      </c>
      <c r="C34" s="9">
        <f>SUMIFS(Budget!$Q:$Q,Budget!$A:$A,$A34)</f>
        <v/>
      </c>
      <c r="D34" s="9">
        <f>SUMIFS(Budget!$R:$R,Budget!$A:$A,$A34)</f>
        <v/>
      </c>
      <c r="E34" s="9">
        <f>SUMIFS(Budget!$S:$S,Budget!$A:$A,$A34)</f>
        <v/>
      </c>
      <c r="F34" s="9">
        <f>SUMIFS(Budget!$T:$T,Budget!$A:$A,$A34)</f>
        <v/>
      </c>
      <c r="G34" s="9">
        <f>SUMIFS(Budget!$U:$U,Budget!$A:$A,$A34)</f>
        <v/>
      </c>
      <c r="H34" s="9">
        <f>SUMIFS(Budget!$V:$V,Budget!$A:$A,$A34)</f>
        <v/>
      </c>
      <c r="I34" s="9">
        <f>SUMIFS(Budget!$W:$W,Budget!$A:$A,$A34)</f>
        <v/>
      </c>
      <c r="J34" s="9">
        <f>SUMIFS(Budget!$X:$X,Budget!$A:$A,$A34)</f>
        <v/>
      </c>
      <c r="K34" s="9">
        <f>SUMIFS(Budget!$Y:$Y,Budget!$A:$A,$A34)</f>
        <v/>
      </c>
      <c r="L34" s="9">
        <f>SUMIFS(Budget!$Z:$Z,Budget!$A:$A,$A34)</f>
        <v/>
      </c>
      <c r="M34" s="9">
        <f>SUMIFS(Budget!$AA:$AA,Budget!$A:$A,$A34)</f>
        <v/>
      </c>
      <c r="N34" s="10">
        <f>SUM(B34:M34)</f>
        <v/>
      </c>
    </row>
    <row r="35">
      <c r="A35" s="5" t="inlineStr">
        <is>
          <t>Production Labour</t>
        </is>
      </c>
      <c r="B35" s="9">
        <f>SUMIFS(Budget!$P:$P,Budget!$A:$A,$A35)</f>
        <v/>
      </c>
      <c r="C35" s="9">
        <f>SUMIFS(Budget!$Q:$Q,Budget!$A:$A,$A35)</f>
        <v/>
      </c>
      <c r="D35" s="9">
        <f>SUMIFS(Budget!$R:$R,Budget!$A:$A,$A35)</f>
        <v/>
      </c>
      <c r="E35" s="9">
        <f>SUMIFS(Budget!$S:$S,Budget!$A:$A,$A35)</f>
        <v/>
      </c>
      <c r="F35" s="9">
        <f>SUMIFS(Budget!$T:$T,Budget!$A:$A,$A35)</f>
        <v/>
      </c>
      <c r="G35" s="9">
        <f>SUMIFS(Budget!$U:$U,Budget!$A:$A,$A35)</f>
        <v/>
      </c>
      <c r="H35" s="9">
        <f>SUMIFS(Budget!$V:$V,Budget!$A:$A,$A35)</f>
        <v/>
      </c>
      <c r="I35" s="9">
        <f>SUMIFS(Budget!$W:$W,Budget!$A:$A,$A35)</f>
        <v/>
      </c>
      <c r="J35" s="9">
        <f>SUMIFS(Budget!$X:$X,Budget!$A:$A,$A35)</f>
        <v/>
      </c>
      <c r="K35" s="9">
        <f>SUMIFS(Budget!$Y:$Y,Budget!$A:$A,$A35)</f>
        <v/>
      </c>
      <c r="L35" s="9">
        <f>SUMIFS(Budget!$Z:$Z,Budget!$A:$A,$A35)</f>
        <v/>
      </c>
      <c r="M35" s="9">
        <f>SUMIFS(Budget!$AA:$AA,Budget!$A:$A,$A35)</f>
        <v/>
      </c>
      <c r="N35" s="10">
        <f>SUM(B35:M35)</f>
        <v/>
      </c>
    </row>
    <row r="36">
      <c r="A36" s="5" t="inlineStr">
        <is>
          <t>Subscriptions &amp; Licences - Income</t>
        </is>
      </c>
      <c r="B36" s="9">
        <f>SUMIFS(Budget!$P:$P,Budget!$A:$A,$A36)</f>
        <v/>
      </c>
      <c r="C36" s="9">
        <f>SUMIFS(Budget!$Q:$Q,Budget!$A:$A,$A36)</f>
        <v/>
      </c>
      <c r="D36" s="9">
        <f>SUMIFS(Budget!$R:$R,Budget!$A:$A,$A36)</f>
        <v/>
      </c>
      <c r="E36" s="9">
        <f>SUMIFS(Budget!$S:$S,Budget!$A:$A,$A36)</f>
        <v/>
      </c>
      <c r="F36" s="9">
        <f>SUMIFS(Budget!$T:$T,Budget!$A:$A,$A36)</f>
        <v/>
      </c>
      <c r="G36" s="9">
        <f>SUMIFS(Budget!$U:$U,Budget!$A:$A,$A36)</f>
        <v/>
      </c>
      <c r="H36" s="9">
        <f>SUMIFS(Budget!$V:$V,Budget!$A:$A,$A36)</f>
        <v/>
      </c>
      <c r="I36" s="9">
        <f>SUMIFS(Budget!$W:$W,Budget!$A:$A,$A36)</f>
        <v/>
      </c>
      <c r="J36" s="9">
        <f>SUMIFS(Budget!$X:$X,Budget!$A:$A,$A36)</f>
        <v/>
      </c>
      <c r="K36" s="9">
        <f>SUMIFS(Budget!$Y:$Y,Budget!$A:$A,$A36)</f>
        <v/>
      </c>
      <c r="L36" s="9">
        <f>SUMIFS(Budget!$Z:$Z,Budget!$A:$A,$A36)</f>
        <v/>
      </c>
      <c r="M36" s="9">
        <f>SUMIFS(Budget!$AA:$AA,Budget!$A:$A,$A36)</f>
        <v/>
      </c>
      <c r="N36" s="10">
        <f>SUM(B36:M36)</f>
        <v/>
      </c>
    </row>
    <row r="37">
      <c r="A37" s="5" t="inlineStr">
        <is>
          <t>Tech Consulting/Project Manage</t>
        </is>
      </c>
      <c r="B37" s="9">
        <f>SUMIFS(Budget!$P:$P,Budget!$A:$A,$A37)</f>
        <v/>
      </c>
      <c r="C37" s="9">
        <f>SUMIFS(Budget!$Q:$Q,Budget!$A:$A,$A37)</f>
        <v/>
      </c>
      <c r="D37" s="9">
        <f>SUMIFS(Budget!$R:$R,Budget!$A:$A,$A37)</f>
        <v/>
      </c>
      <c r="E37" s="9">
        <f>SUMIFS(Budget!$S:$S,Budget!$A:$A,$A37)</f>
        <v/>
      </c>
      <c r="F37" s="9">
        <f>SUMIFS(Budget!$T:$T,Budget!$A:$A,$A37)</f>
        <v/>
      </c>
      <c r="G37" s="9">
        <f>SUMIFS(Budget!$U:$U,Budget!$A:$A,$A37)</f>
        <v/>
      </c>
      <c r="H37" s="9">
        <f>SUMIFS(Budget!$V:$V,Budget!$A:$A,$A37)</f>
        <v/>
      </c>
      <c r="I37" s="9">
        <f>SUMIFS(Budget!$W:$W,Budget!$A:$A,$A37)</f>
        <v/>
      </c>
      <c r="J37" s="9">
        <f>SUMIFS(Budget!$X:$X,Budget!$A:$A,$A37)</f>
        <v/>
      </c>
      <c r="K37" s="9">
        <f>SUMIFS(Budget!$Y:$Y,Budget!$A:$A,$A37)</f>
        <v/>
      </c>
      <c r="L37" s="9">
        <f>SUMIFS(Budget!$Z:$Z,Budget!$A:$A,$A37)</f>
        <v/>
      </c>
      <c r="M37" s="9">
        <f>SUMIFS(Budget!$AA:$AA,Budget!$A:$A,$A37)</f>
        <v/>
      </c>
      <c r="N37" s="10">
        <f>SUM(B37:M37)</f>
        <v/>
      </c>
    </row>
    <row r="38">
      <c r="A38" s="5" t="inlineStr">
        <is>
          <t>Tech Event Management</t>
        </is>
      </c>
      <c r="B38" s="9">
        <f>SUMIFS(Budget!$P:$P,Budget!$A:$A,$A38)</f>
        <v/>
      </c>
      <c r="C38" s="9">
        <f>SUMIFS(Budget!$Q:$Q,Budget!$A:$A,$A38)</f>
        <v/>
      </c>
      <c r="D38" s="9">
        <f>SUMIFS(Budget!$R:$R,Budget!$A:$A,$A38)</f>
        <v/>
      </c>
      <c r="E38" s="9">
        <f>SUMIFS(Budget!$S:$S,Budget!$A:$A,$A38)</f>
        <v/>
      </c>
      <c r="F38" s="9">
        <f>SUMIFS(Budget!$T:$T,Budget!$A:$A,$A38)</f>
        <v/>
      </c>
      <c r="G38" s="9">
        <f>SUMIFS(Budget!$U:$U,Budget!$A:$A,$A38)</f>
        <v/>
      </c>
      <c r="H38" s="9">
        <f>SUMIFS(Budget!$V:$V,Budget!$A:$A,$A38)</f>
        <v/>
      </c>
      <c r="I38" s="9">
        <f>SUMIFS(Budget!$W:$W,Budget!$A:$A,$A38)</f>
        <v/>
      </c>
      <c r="J38" s="9">
        <f>SUMIFS(Budget!$X:$X,Budget!$A:$A,$A38)</f>
        <v/>
      </c>
      <c r="K38" s="9">
        <f>SUMIFS(Budget!$Y:$Y,Budget!$A:$A,$A38)</f>
        <v/>
      </c>
      <c r="L38" s="9">
        <f>SUMIFS(Budget!$Z:$Z,Budget!$A:$A,$A38)</f>
        <v/>
      </c>
      <c r="M38" s="9">
        <f>SUMIFS(Budget!$AA:$AA,Budget!$A:$A,$A38)</f>
        <v/>
      </c>
      <c r="N38" s="10">
        <f>SUM(B38:M38)</f>
        <v/>
      </c>
    </row>
    <row r="39">
      <c r="A39" s="5" t="inlineStr">
        <is>
          <t>Video Labour</t>
        </is>
      </c>
      <c r="B39" s="9">
        <f>SUMIFS(Budget!$P:$P,Budget!$A:$A,$A39)</f>
        <v/>
      </c>
      <c r="C39" s="9">
        <f>SUMIFS(Budget!$Q:$Q,Budget!$A:$A,$A39)</f>
        <v/>
      </c>
      <c r="D39" s="9">
        <f>SUMIFS(Budget!$R:$R,Budget!$A:$A,$A39)</f>
        <v/>
      </c>
      <c r="E39" s="9">
        <f>SUMIFS(Budget!$S:$S,Budget!$A:$A,$A39)</f>
        <v/>
      </c>
      <c r="F39" s="9">
        <f>SUMIFS(Budget!$T:$T,Budget!$A:$A,$A39)</f>
        <v/>
      </c>
      <c r="G39" s="9">
        <f>SUMIFS(Budget!$U:$U,Budget!$A:$A,$A39)</f>
        <v/>
      </c>
      <c r="H39" s="9">
        <f>SUMIFS(Budget!$V:$V,Budget!$A:$A,$A39)</f>
        <v/>
      </c>
      <c r="I39" s="9">
        <f>SUMIFS(Budget!$W:$W,Budget!$A:$A,$A39)</f>
        <v/>
      </c>
      <c r="J39" s="9">
        <f>SUMIFS(Budget!$X:$X,Budget!$A:$A,$A39)</f>
        <v/>
      </c>
      <c r="K39" s="9">
        <f>SUMIFS(Budget!$Y:$Y,Budget!$A:$A,$A39)</f>
        <v/>
      </c>
      <c r="L39" s="9">
        <f>SUMIFS(Budget!$Z:$Z,Budget!$A:$A,$A39)</f>
        <v/>
      </c>
      <c r="M39" s="9">
        <f>SUMIFS(Budget!$AA:$AA,Budget!$A:$A,$A39)</f>
        <v/>
      </c>
      <c r="N39" s="10">
        <f>SUM(B39:M39)</f>
        <v/>
      </c>
    </row>
    <row r="40">
      <c r="A40" s="11" t="inlineStr">
        <is>
          <t>Total Income</t>
        </is>
      </c>
      <c r="B40" s="12">
        <f>SUM(B5:B39)</f>
        <v/>
      </c>
      <c r="C40" s="12">
        <f>SUM(C5:C39)</f>
        <v/>
      </c>
      <c r="D40" s="12">
        <f>SUM(D5:D39)</f>
        <v/>
      </c>
      <c r="E40" s="12">
        <f>SUM(E5:E39)</f>
        <v/>
      </c>
      <c r="F40" s="12">
        <f>SUM(F5:F39)</f>
        <v/>
      </c>
      <c r="G40" s="12">
        <f>SUM(G5:G39)</f>
        <v/>
      </c>
      <c r="H40" s="12">
        <f>SUM(H5:H39)</f>
        <v/>
      </c>
      <c r="I40" s="12">
        <f>SUM(I5:I39)</f>
        <v/>
      </c>
      <c r="J40" s="12">
        <f>SUM(J5:J39)</f>
        <v/>
      </c>
      <c r="K40" s="12">
        <f>SUM(K5:K39)</f>
        <v/>
      </c>
      <c r="L40" s="12">
        <f>SUM(L5:L39)</f>
        <v/>
      </c>
      <c r="M40" s="12">
        <f>SUM(M5:M39)</f>
        <v/>
      </c>
      <c r="N40" s="12">
        <f>SUM(B40:M40)</f>
        <v/>
      </c>
    </row>
    <row r="42">
      <c r="A42" s="7" t="inlineStr">
        <is>
          <t>COST OF SALES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5" t="inlineStr">
        <is>
          <t>Credit Card Paid - ADMIN</t>
        </is>
      </c>
      <c r="B43" s="9">
        <f>SUMIFS(Budget!$P:$P,Budget!$A:$A,$A43)</f>
        <v/>
      </c>
      <c r="C43" s="9">
        <f>SUMIFS(Budget!$Q:$Q,Budget!$A:$A,$A43)</f>
        <v/>
      </c>
      <c r="D43" s="9">
        <f>SUMIFS(Budget!$R:$R,Budget!$A:$A,$A43)</f>
        <v/>
      </c>
      <c r="E43" s="9">
        <f>SUMIFS(Budget!$S:$S,Budget!$A:$A,$A43)</f>
        <v/>
      </c>
      <c r="F43" s="9">
        <f>SUMIFS(Budget!$T:$T,Budget!$A:$A,$A43)</f>
        <v/>
      </c>
      <c r="G43" s="9">
        <f>SUMIFS(Budget!$U:$U,Budget!$A:$A,$A43)</f>
        <v/>
      </c>
      <c r="H43" s="9">
        <f>SUMIFS(Budget!$V:$V,Budget!$A:$A,$A43)</f>
        <v/>
      </c>
      <c r="I43" s="9">
        <f>SUMIFS(Budget!$W:$W,Budget!$A:$A,$A43)</f>
        <v/>
      </c>
      <c r="J43" s="9">
        <f>SUMIFS(Budget!$X:$X,Budget!$A:$A,$A43)</f>
        <v/>
      </c>
      <c r="K43" s="9">
        <f>SUMIFS(Budget!$Y:$Y,Budget!$A:$A,$A43)</f>
        <v/>
      </c>
      <c r="L43" s="9">
        <f>SUMIFS(Budget!$Z:$Z,Budget!$A:$A,$A43)</f>
        <v/>
      </c>
      <c r="M43" s="9">
        <f>SUMIFS(Budget!$AA:$AA,Budget!$A:$A,$A43)</f>
        <v/>
      </c>
      <c r="N43" s="10">
        <f>SUM(B43:M43)</f>
        <v/>
      </c>
    </row>
    <row r="44">
      <c r="A44" s="5" t="inlineStr">
        <is>
          <t>Credit Card Paid - CONS</t>
        </is>
      </c>
      <c r="B44" s="9">
        <f>SUMIFS(Budget!$P:$P,Budget!$A:$A,$A44)</f>
        <v/>
      </c>
      <c r="C44" s="9">
        <f>SUMIFS(Budget!$Q:$Q,Budget!$A:$A,$A44)</f>
        <v/>
      </c>
      <c r="D44" s="9">
        <f>SUMIFS(Budget!$R:$R,Budget!$A:$A,$A44)</f>
        <v/>
      </c>
      <c r="E44" s="9">
        <f>SUMIFS(Budget!$S:$S,Budget!$A:$A,$A44)</f>
        <v/>
      </c>
      <c r="F44" s="9">
        <f>SUMIFS(Budget!$T:$T,Budget!$A:$A,$A44)</f>
        <v/>
      </c>
      <c r="G44" s="9">
        <f>SUMIFS(Budget!$U:$U,Budget!$A:$A,$A44)</f>
        <v/>
      </c>
      <c r="H44" s="9">
        <f>SUMIFS(Budget!$V:$V,Budget!$A:$A,$A44)</f>
        <v/>
      </c>
      <c r="I44" s="9">
        <f>SUMIFS(Budget!$W:$W,Budget!$A:$A,$A44)</f>
        <v/>
      </c>
      <c r="J44" s="9">
        <f>SUMIFS(Budget!$X:$X,Budget!$A:$A,$A44)</f>
        <v/>
      </c>
      <c r="K44" s="9">
        <f>SUMIFS(Budget!$Y:$Y,Budget!$A:$A,$A44)</f>
        <v/>
      </c>
      <c r="L44" s="9">
        <f>SUMIFS(Budget!$Z:$Z,Budget!$A:$A,$A44)</f>
        <v/>
      </c>
      <c r="M44" s="9">
        <f>SUMIFS(Budget!$AA:$AA,Budget!$A:$A,$A44)</f>
        <v/>
      </c>
      <c r="N44" s="10">
        <f>SUM(B44:M44)</f>
        <v/>
      </c>
    </row>
    <row r="45">
      <c r="A45" s="5" t="inlineStr">
        <is>
          <t>Credit Card Paid - INTEGRATION</t>
        </is>
      </c>
      <c r="B45" s="9">
        <f>SUMIFS(Budget!$P:$P,Budget!$A:$A,$A45)</f>
        <v/>
      </c>
      <c r="C45" s="9">
        <f>SUMIFS(Budget!$Q:$Q,Budget!$A:$A,$A45)</f>
        <v/>
      </c>
      <c r="D45" s="9">
        <f>SUMIFS(Budget!$R:$R,Budget!$A:$A,$A45)</f>
        <v/>
      </c>
      <c r="E45" s="9">
        <f>SUMIFS(Budget!$S:$S,Budget!$A:$A,$A45)</f>
        <v/>
      </c>
      <c r="F45" s="9">
        <f>SUMIFS(Budget!$T:$T,Budget!$A:$A,$A45)</f>
        <v/>
      </c>
      <c r="G45" s="9">
        <f>SUMIFS(Budget!$U:$U,Budget!$A:$A,$A45)</f>
        <v/>
      </c>
      <c r="H45" s="9">
        <f>SUMIFS(Budget!$V:$V,Budget!$A:$A,$A45)</f>
        <v/>
      </c>
      <c r="I45" s="9">
        <f>SUMIFS(Budget!$W:$W,Budget!$A:$A,$A45)</f>
        <v/>
      </c>
      <c r="J45" s="9">
        <f>SUMIFS(Budget!$X:$X,Budget!$A:$A,$A45)</f>
        <v/>
      </c>
      <c r="K45" s="9">
        <f>SUMIFS(Budget!$Y:$Y,Budget!$A:$A,$A45)</f>
        <v/>
      </c>
      <c r="L45" s="9">
        <f>SUMIFS(Budget!$Z:$Z,Budget!$A:$A,$A45)</f>
        <v/>
      </c>
      <c r="M45" s="9">
        <f>SUMIFS(Budget!$AA:$AA,Budget!$A:$A,$A45)</f>
        <v/>
      </c>
      <c r="N45" s="10">
        <f>SUM(B45:M45)</f>
        <v/>
      </c>
    </row>
    <row r="46">
      <c r="A46" s="5" t="inlineStr">
        <is>
          <t>Credit Card Paid - ONS</t>
        </is>
      </c>
      <c r="B46" s="9">
        <f>SUMIFS(Budget!$P:$P,Budget!$A:$A,$A46)</f>
        <v/>
      </c>
      <c r="C46" s="9">
        <f>SUMIFS(Budget!$Q:$Q,Budget!$A:$A,$A46)</f>
        <v/>
      </c>
      <c r="D46" s="9">
        <f>SUMIFS(Budget!$R:$R,Budget!$A:$A,$A46)</f>
        <v/>
      </c>
      <c r="E46" s="9">
        <f>SUMIFS(Budget!$S:$S,Budget!$A:$A,$A46)</f>
        <v/>
      </c>
      <c r="F46" s="9">
        <f>SUMIFS(Budget!$T:$T,Budget!$A:$A,$A46)</f>
        <v/>
      </c>
      <c r="G46" s="9">
        <f>SUMIFS(Budget!$U:$U,Budget!$A:$A,$A46)</f>
        <v/>
      </c>
      <c r="H46" s="9">
        <f>SUMIFS(Budget!$V:$V,Budget!$A:$A,$A46)</f>
        <v/>
      </c>
      <c r="I46" s="9">
        <f>SUMIFS(Budget!$W:$W,Budget!$A:$A,$A46)</f>
        <v/>
      </c>
      <c r="J46" s="9">
        <f>SUMIFS(Budget!$X:$X,Budget!$A:$A,$A46)</f>
        <v/>
      </c>
      <c r="K46" s="9">
        <f>SUMIFS(Budget!$Y:$Y,Budget!$A:$A,$A46)</f>
        <v/>
      </c>
      <c r="L46" s="9">
        <f>SUMIFS(Budget!$Z:$Z,Budget!$A:$A,$A46)</f>
        <v/>
      </c>
      <c r="M46" s="9">
        <f>SUMIFS(Budget!$AA:$AA,Budget!$A:$A,$A46)</f>
        <v/>
      </c>
      <c r="N46" s="10">
        <f>SUM(B46:M46)</f>
        <v/>
      </c>
    </row>
    <row r="47">
      <c r="A47" s="5" t="inlineStr">
        <is>
          <t>Credit Card Paid - PRD</t>
        </is>
      </c>
      <c r="B47" s="9">
        <f>SUMIFS(Budget!$P:$P,Budget!$A:$A,$A47)</f>
        <v/>
      </c>
      <c r="C47" s="9">
        <f>SUMIFS(Budget!$Q:$Q,Budget!$A:$A,$A47)</f>
        <v/>
      </c>
      <c r="D47" s="9">
        <f>SUMIFS(Budget!$R:$R,Budget!$A:$A,$A47)</f>
        <v/>
      </c>
      <c r="E47" s="9">
        <f>SUMIFS(Budget!$S:$S,Budget!$A:$A,$A47)</f>
        <v/>
      </c>
      <c r="F47" s="9">
        <f>SUMIFS(Budget!$T:$T,Budget!$A:$A,$A47)</f>
        <v/>
      </c>
      <c r="G47" s="9">
        <f>SUMIFS(Budget!$U:$U,Budget!$A:$A,$A47)</f>
        <v/>
      </c>
      <c r="H47" s="9">
        <f>SUMIFS(Budget!$V:$V,Budget!$A:$A,$A47)</f>
        <v/>
      </c>
      <c r="I47" s="9">
        <f>SUMIFS(Budget!$W:$W,Budget!$A:$A,$A47)</f>
        <v/>
      </c>
      <c r="J47" s="9">
        <f>SUMIFS(Budget!$X:$X,Budget!$A:$A,$A47)</f>
        <v/>
      </c>
      <c r="K47" s="9">
        <f>SUMIFS(Budget!$Y:$Y,Budget!$A:$A,$A47)</f>
        <v/>
      </c>
      <c r="L47" s="9">
        <f>SUMIFS(Budget!$Z:$Z,Budget!$A:$A,$A47)</f>
        <v/>
      </c>
      <c r="M47" s="9">
        <f>SUMIFS(Budget!$AA:$AA,Budget!$A:$A,$A47)</f>
        <v/>
      </c>
      <c r="N47" s="10">
        <f>SUM(B47:M47)</f>
        <v/>
      </c>
    </row>
    <row r="48">
      <c r="A48" s="5" t="inlineStr">
        <is>
          <t>Credit Card Paid - VID</t>
        </is>
      </c>
      <c r="B48" s="9">
        <f>SUMIFS(Budget!$P:$P,Budget!$A:$A,$A48)</f>
        <v/>
      </c>
      <c r="C48" s="9">
        <f>SUMIFS(Budget!$Q:$Q,Budget!$A:$A,$A48)</f>
        <v/>
      </c>
      <c r="D48" s="9">
        <f>SUMIFS(Budget!$R:$R,Budget!$A:$A,$A48)</f>
        <v/>
      </c>
      <c r="E48" s="9">
        <f>SUMIFS(Budget!$S:$S,Budget!$A:$A,$A48)</f>
        <v/>
      </c>
      <c r="F48" s="9">
        <f>SUMIFS(Budget!$T:$T,Budget!$A:$A,$A48)</f>
        <v/>
      </c>
      <c r="G48" s="9">
        <f>SUMIFS(Budget!$U:$U,Budget!$A:$A,$A48)</f>
        <v/>
      </c>
      <c r="H48" s="9">
        <f>SUMIFS(Budget!$V:$V,Budget!$A:$A,$A48)</f>
        <v/>
      </c>
      <c r="I48" s="9">
        <f>SUMIFS(Budget!$W:$W,Budget!$A:$A,$A48)</f>
        <v/>
      </c>
      <c r="J48" s="9">
        <f>SUMIFS(Budget!$X:$X,Budget!$A:$A,$A48)</f>
        <v/>
      </c>
      <c r="K48" s="9">
        <f>SUMIFS(Budget!$Y:$Y,Budget!$A:$A,$A48)</f>
        <v/>
      </c>
      <c r="L48" s="9">
        <f>SUMIFS(Budget!$Z:$Z,Budget!$A:$A,$A48)</f>
        <v/>
      </c>
      <c r="M48" s="9">
        <f>SUMIFS(Budget!$AA:$AA,Budget!$A:$A,$A48)</f>
        <v/>
      </c>
      <c r="N48" s="10">
        <f>SUM(B48:M48)</f>
        <v/>
      </c>
    </row>
    <row r="49">
      <c r="A49" s="5" t="inlineStr">
        <is>
          <t>Damage Waiver</t>
        </is>
      </c>
      <c r="B49" s="9">
        <f>SUMIFS(Budget!$P:$P,Budget!$A:$A,$A49)</f>
        <v/>
      </c>
      <c r="C49" s="9">
        <f>SUMIFS(Budget!$Q:$Q,Budget!$A:$A,$A49)</f>
        <v/>
      </c>
      <c r="D49" s="9">
        <f>SUMIFS(Budget!$R:$R,Budget!$A:$A,$A49)</f>
        <v/>
      </c>
      <c r="E49" s="9">
        <f>SUMIFS(Budget!$S:$S,Budget!$A:$A,$A49)</f>
        <v/>
      </c>
      <c r="F49" s="9">
        <f>SUMIFS(Budget!$T:$T,Budget!$A:$A,$A49)</f>
        <v/>
      </c>
      <c r="G49" s="9">
        <f>SUMIFS(Budget!$U:$U,Budget!$A:$A,$A49)</f>
        <v/>
      </c>
      <c r="H49" s="9">
        <f>SUMIFS(Budget!$V:$V,Budget!$A:$A,$A49)</f>
        <v/>
      </c>
      <c r="I49" s="9">
        <f>SUMIFS(Budget!$W:$W,Budget!$A:$A,$A49)</f>
        <v/>
      </c>
      <c r="J49" s="9">
        <f>SUMIFS(Budget!$X:$X,Budget!$A:$A,$A49)</f>
        <v/>
      </c>
      <c r="K49" s="9">
        <f>SUMIFS(Budget!$Y:$Y,Budget!$A:$A,$A49)</f>
        <v/>
      </c>
      <c r="L49" s="9">
        <f>SUMIFS(Budget!$Z:$Z,Budget!$A:$A,$A49)</f>
        <v/>
      </c>
      <c r="M49" s="9">
        <f>SUMIFS(Budget!$AA:$AA,Budget!$A:$A,$A49)</f>
        <v/>
      </c>
      <c r="N49" s="10">
        <f>SUM(B49:M49)</f>
        <v/>
      </c>
    </row>
    <row r="50">
      <c r="A50" s="5" t="inlineStr">
        <is>
          <t>Direct Freight - ADMIN</t>
        </is>
      </c>
      <c r="B50" s="9">
        <f>SUMIFS(Budget!$P:$P,Budget!$A:$A,$A50)</f>
        <v/>
      </c>
      <c r="C50" s="9">
        <f>SUMIFS(Budget!$Q:$Q,Budget!$A:$A,$A50)</f>
        <v/>
      </c>
      <c r="D50" s="9">
        <f>SUMIFS(Budget!$R:$R,Budget!$A:$A,$A50)</f>
        <v/>
      </c>
      <c r="E50" s="9">
        <f>SUMIFS(Budget!$S:$S,Budget!$A:$A,$A50)</f>
        <v/>
      </c>
      <c r="F50" s="9">
        <f>SUMIFS(Budget!$T:$T,Budget!$A:$A,$A50)</f>
        <v/>
      </c>
      <c r="G50" s="9">
        <f>SUMIFS(Budget!$U:$U,Budget!$A:$A,$A50)</f>
        <v/>
      </c>
      <c r="H50" s="9">
        <f>SUMIFS(Budget!$V:$V,Budget!$A:$A,$A50)</f>
        <v/>
      </c>
      <c r="I50" s="9">
        <f>SUMIFS(Budget!$W:$W,Budget!$A:$A,$A50)</f>
        <v/>
      </c>
      <c r="J50" s="9">
        <f>SUMIFS(Budget!$X:$X,Budget!$A:$A,$A50)</f>
        <v/>
      </c>
      <c r="K50" s="9">
        <f>SUMIFS(Budget!$Y:$Y,Budget!$A:$A,$A50)</f>
        <v/>
      </c>
      <c r="L50" s="9">
        <f>SUMIFS(Budget!$Z:$Z,Budget!$A:$A,$A50)</f>
        <v/>
      </c>
      <c r="M50" s="9">
        <f>SUMIFS(Budget!$AA:$AA,Budget!$A:$A,$A50)</f>
        <v/>
      </c>
      <c r="N50" s="10">
        <f>SUM(B50:M50)</f>
        <v/>
      </c>
    </row>
    <row r="51">
      <c r="A51" s="5" t="inlineStr">
        <is>
          <t>Direct Freight - CONS</t>
        </is>
      </c>
      <c r="B51" s="9">
        <f>SUMIFS(Budget!$P:$P,Budget!$A:$A,$A51)</f>
        <v/>
      </c>
      <c r="C51" s="9">
        <f>SUMIFS(Budget!$Q:$Q,Budget!$A:$A,$A51)</f>
        <v/>
      </c>
      <c r="D51" s="9">
        <f>SUMIFS(Budget!$R:$R,Budget!$A:$A,$A51)</f>
        <v/>
      </c>
      <c r="E51" s="9">
        <f>SUMIFS(Budget!$S:$S,Budget!$A:$A,$A51)</f>
        <v/>
      </c>
      <c r="F51" s="9">
        <f>SUMIFS(Budget!$T:$T,Budget!$A:$A,$A51)</f>
        <v/>
      </c>
      <c r="G51" s="9">
        <f>SUMIFS(Budget!$U:$U,Budget!$A:$A,$A51)</f>
        <v/>
      </c>
      <c r="H51" s="9">
        <f>SUMIFS(Budget!$V:$V,Budget!$A:$A,$A51)</f>
        <v/>
      </c>
      <c r="I51" s="9">
        <f>SUMIFS(Budget!$W:$W,Budget!$A:$A,$A51)</f>
        <v/>
      </c>
      <c r="J51" s="9">
        <f>SUMIFS(Budget!$X:$X,Budget!$A:$A,$A51)</f>
        <v/>
      </c>
      <c r="K51" s="9">
        <f>SUMIFS(Budget!$Y:$Y,Budget!$A:$A,$A51)</f>
        <v/>
      </c>
      <c r="L51" s="9">
        <f>SUMIFS(Budget!$Z:$Z,Budget!$A:$A,$A51)</f>
        <v/>
      </c>
      <c r="M51" s="9">
        <f>SUMIFS(Budget!$AA:$AA,Budget!$A:$A,$A51)</f>
        <v/>
      </c>
      <c r="N51" s="10">
        <f>SUM(B51:M51)</f>
        <v/>
      </c>
    </row>
    <row r="52">
      <c r="A52" s="5" t="inlineStr">
        <is>
          <t>Direct Freight - INTEGRATION</t>
        </is>
      </c>
      <c r="B52" s="9">
        <f>SUMIFS(Budget!$P:$P,Budget!$A:$A,$A52)</f>
        <v/>
      </c>
      <c r="C52" s="9">
        <f>SUMIFS(Budget!$Q:$Q,Budget!$A:$A,$A52)</f>
        <v/>
      </c>
      <c r="D52" s="9">
        <f>SUMIFS(Budget!$R:$R,Budget!$A:$A,$A52)</f>
        <v/>
      </c>
      <c r="E52" s="9">
        <f>SUMIFS(Budget!$S:$S,Budget!$A:$A,$A52)</f>
        <v/>
      </c>
      <c r="F52" s="9">
        <f>SUMIFS(Budget!$T:$T,Budget!$A:$A,$A52)</f>
        <v/>
      </c>
      <c r="G52" s="9">
        <f>SUMIFS(Budget!$U:$U,Budget!$A:$A,$A52)</f>
        <v/>
      </c>
      <c r="H52" s="9">
        <f>SUMIFS(Budget!$V:$V,Budget!$A:$A,$A52)</f>
        <v/>
      </c>
      <c r="I52" s="9">
        <f>SUMIFS(Budget!$W:$W,Budget!$A:$A,$A52)</f>
        <v/>
      </c>
      <c r="J52" s="9">
        <f>SUMIFS(Budget!$X:$X,Budget!$A:$A,$A52)</f>
        <v/>
      </c>
      <c r="K52" s="9">
        <f>SUMIFS(Budget!$Y:$Y,Budget!$A:$A,$A52)</f>
        <v/>
      </c>
      <c r="L52" s="9">
        <f>SUMIFS(Budget!$Z:$Z,Budget!$A:$A,$A52)</f>
        <v/>
      </c>
      <c r="M52" s="9">
        <f>SUMIFS(Budget!$AA:$AA,Budget!$A:$A,$A52)</f>
        <v/>
      </c>
      <c r="N52" s="10">
        <f>SUM(B52:M52)</f>
        <v/>
      </c>
    </row>
    <row r="53">
      <c r="A53" s="5" t="inlineStr">
        <is>
          <t>Direct Freight - ONS</t>
        </is>
      </c>
      <c r="B53" s="9">
        <f>SUMIFS(Budget!$P:$P,Budget!$A:$A,$A53)</f>
        <v/>
      </c>
      <c r="C53" s="9">
        <f>SUMIFS(Budget!$Q:$Q,Budget!$A:$A,$A53)</f>
        <v/>
      </c>
      <c r="D53" s="9">
        <f>SUMIFS(Budget!$R:$R,Budget!$A:$A,$A53)</f>
        <v/>
      </c>
      <c r="E53" s="9">
        <f>SUMIFS(Budget!$S:$S,Budget!$A:$A,$A53)</f>
        <v/>
      </c>
      <c r="F53" s="9">
        <f>SUMIFS(Budget!$T:$T,Budget!$A:$A,$A53)</f>
        <v/>
      </c>
      <c r="G53" s="9">
        <f>SUMIFS(Budget!$U:$U,Budget!$A:$A,$A53)</f>
        <v/>
      </c>
      <c r="H53" s="9">
        <f>SUMIFS(Budget!$V:$V,Budget!$A:$A,$A53)</f>
        <v/>
      </c>
      <c r="I53" s="9">
        <f>SUMIFS(Budget!$W:$W,Budget!$A:$A,$A53)</f>
        <v/>
      </c>
      <c r="J53" s="9">
        <f>SUMIFS(Budget!$X:$X,Budget!$A:$A,$A53)</f>
        <v/>
      </c>
      <c r="K53" s="9">
        <f>SUMIFS(Budget!$Y:$Y,Budget!$A:$A,$A53)</f>
        <v/>
      </c>
      <c r="L53" s="9">
        <f>SUMIFS(Budget!$Z:$Z,Budget!$A:$A,$A53)</f>
        <v/>
      </c>
      <c r="M53" s="9">
        <f>SUMIFS(Budget!$AA:$AA,Budget!$A:$A,$A53)</f>
        <v/>
      </c>
      <c r="N53" s="10">
        <f>SUM(B53:M53)</f>
        <v/>
      </c>
    </row>
    <row r="54">
      <c r="A54" s="5" t="inlineStr">
        <is>
          <t>Direct Freight - PRD</t>
        </is>
      </c>
      <c r="B54" s="9">
        <f>SUMIFS(Budget!$P:$P,Budget!$A:$A,$A54)</f>
        <v/>
      </c>
      <c r="C54" s="9">
        <f>SUMIFS(Budget!$Q:$Q,Budget!$A:$A,$A54)</f>
        <v/>
      </c>
      <c r="D54" s="9">
        <f>SUMIFS(Budget!$R:$R,Budget!$A:$A,$A54)</f>
        <v/>
      </c>
      <c r="E54" s="9">
        <f>SUMIFS(Budget!$S:$S,Budget!$A:$A,$A54)</f>
        <v/>
      </c>
      <c r="F54" s="9">
        <f>SUMIFS(Budget!$T:$T,Budget!$A:$A,$A54)</f>
        <v/>
      </c>
      <c r="G54" s="9">
        <f>SUMIFS(Budget!$U:$U,Budget!$A:$A,$A54)</f>
        <v/>
      </c>
      <c r="H54" s="9">
        <f>SUMIFS(Budget!$V:$V,Budget!$A:$A,$A54)</f>
        <v/>
      </c>
      <c r="I54" s="9">
        <f>SUMIFS(Budget!$W:$W,Budget!$A:$A,$A54)</f>
        <v/>
      </c>
      <c r="J54" s="9">
        <f>SUMIFS(Budget!$X:$X,Budget!$A:$A,$A54)</f>
        <v/>
      </c>
      <c r="K54" s="9">
        <f>SUMIFS(Budget!$Y:$Y,Budget!$A:$A,$A54)</f>
        <v/>
      </c>
      <c r="L54" s="9">
        <f>SUMIFS(Budget!$Z:$Z,Budget!$A:$A,$A54)</f>
        <v/>
      </c>
      <c r="M54" s="9">
        <f>SUMIFS(Budget!$AA:$AA,Budget!$A:$A,$A54)</f>
        <v/>
      </c>
      <c r="N54" s="10">
        <f>SUM(B54:M54)</f>
        <v/>
      </c>
    </row>
    <row r="55">
      <c r="A55" s="5" t="inlineStr">
        <is>
          <t>Direct Freight - VID</t>
        </is>
      </c>
      <c r="B55" s="9">
        <f>SUMIFS(Budget!$P:$P,Budget!$A:$A,$A55)</f>
        <v/>
      </c>
      <c r="C55" s="9">
        <f>SUMIFS(Budget!$Q:$Q,Budget!$A:$A,$A55)</f>
        <v/>
      </c>
      <c r="D55" s="9">
        <f>SUMIFS(Budget!$R:$R,Budget!$A:$A,$A55)</f>
        <v/>
      </c>
      <c r="E55" s="9">
        <f>SUMIFS(Budget!$S:$S,Budget!$A:$A,$A55)</f>
        <v/>
      </c>
      <c r="F55" s="9">
        <f>SUMIFS(Budget!$T:$T,Budget!$A:$A,$A55)</f>
        <v/>
      </c>
      <c r="G55" s="9">
        <f>SUMIFS(Budget!$U:$U,Budget!$A:$A,$A55)</f>
        <v/>
      </c>
      <c r="H55" s="9">
        <f>SUMIFS(Budget!$V:$V,Budget!$A:$A,$A55)</f>
        <v/>
      </c>
      <c r="I55" s="9">
        <f>SUMIFS(Budget!$W:$W,Budget!$A:$A,$A55)</f>
        <v/>
      </c>
      <c r="J55" s="9">
        <f>SUMIFS(Budget!$X:$X,Budget!$A:$A,$A55)</f>
        <v/>
      </c>
      <c r="K55" s="9">
        <f>SUMIFS(Budget!$Y:$Y,Budget!$A:$A,$A55)</f>
        <v/>
      </c>
      <c r="L55" s="9">
        <f>SUMIFS(Budget!$Z:$Z,Budget!$A:$A,$A55)</f>
        <v/>
      </c>
      <c r="M55" s="9">
        <f>SUMIFS(Budget!$AA:$AA,Budget!$A:$A,$A55)</f>
        <v/>
      </c>
      <c r="N55" s="10">
        <f>SUM(B55:M55)</f>
        <v/>
      </c>
    </row>
    <row r="56">
      <c r="A56" s="5" t="inlineStr">
        <is>
          <t>Direct Mobile - CONS</t>
        </is>
      </c>
      <c r="B56" s="9">
        <f>SUMIFS(Budget!$P:$P,Budget!$A:$A,$A56)</f>
        <v/>
      </c>
      <c r="C56" s="9">
        <f>SUMIFS(Budget!$Q:$Q,Budget!$A:$A,$A56)</f>
        <v/>
      </c>
      <c r="D56" s="9">
        <f>SUMIFS(Budget!$R:$R,Budget!$A:$A,$A56)</f>
        <v/>
      </c>
      <c r="E56" s="9">
        <f>SUMIFS(Budget!$S:$S,Budget!$A:$A,$A56)</f>
        <v/>
      </c>
      <c r="F56" s="9">
        <f>SUMIFS(Budget!$T:$T,Budget!$A:$A,$A56)</f>
        <v/>
      </c>
      <c r="G56" s="9">
        <f>SUMIFS(Budget!$U:$U,Budget!$A:$A,$A56)</f>
        <v/>
      </c>
      <c r="H56" s="9">
        <f>SUMIFS(Budget!$V:$V,Budget!$A:$A,$A56)</f>
        <v/>
      </c>
      <c r="I56" s="9">
        <f>SUMIFS(Budget!$W:$W,Budget!$A:$A,$A56)</f>
        <v/>
      </c>
      <c r="J56" s="9">
        <f>SUMIFS(Budget!$X:$X,Budget!$A:$A,$A56)</f>
        <v/>
      </c>
      <c r="K56" s="9">
        <f>SUMIFS(Budget!$Y:$Y,Budget!$A:$A,$A56)</f>
        <v/>
      </c>
      <c r="L56" s="9">
        <f>SUMIFS(Budget!$Z:$Z,Budget!$A:$A,$A56)</f>
        <v/>
      </c>
      <c r="M56" s="9">
        <f>SUMIFS(Budget!$AA:$AA,Budget!$A:$A,$A56)</f>
        <v/>
      </c>
      <c r="N56" s="10">
        <f>SUM(B56:M56)</f>
        <v/>
      </c>
    </row>
    <row r="57">
      <c r="A57" s="5" t="inlineStr">
        <is>
          <t>Direct Mobile - INTEGRATION</t>
        </is>
      </c>
      <c r="B57" s="9">
        <f>SUMIFS(Budget!$P:$P,Budget!$A:$A,$A57)</f>
        <v/>
      </c>
      <c r="C57" s="9">
        <f>SUMIFS(Budget!$Q:$Q,Budget!$A:$A,$A57)</f>
        <v/>
      </c>
      <c r="D57" s="9">
        <f>SUMIFS(Budget!$R:$R,Budget!$A:$A,$A57)</f>
        <v/>
      </c>
      <c r="E57" s="9">
        <f>SUMIFS(Budget!$S:$S,Budget!$A:$A,$A57)</f>
        <v/>
      </c>
      <c r="F57" s="9">
        <f>SUMIFS(Budget!$T:$T,Budget!$A:$A,$A57)</f>
        <v/>
      </c>
      <c r="G57" s="9">
        <f>SUMIFS(Budget!$U:$U,Budget!$A:$A,$A57)</f>
        <v/>
      </c>
      <c r="H57" s="9">
        <f>SUMIFS(Budget!$V:$V,Budget!$A:$A,$A57)</f>
        <v/>
      </c>
      <c r="I57" s="9">
        <f>SUMIFS(Budget!$W:$W,Budget!$A:$A,$A57)</f>
        <v/>
      </c>
      <c r="J57" s="9">
        <f>SUMIFS(Budget!$X:$X,Budget!$A:$A,$A57)</f>
        <v/>
      </c>
      <c r="K57" s="9">
        <f>SUMIFS(Budget!$Y:$Y,Budget!$A:$A,$A57)</f>
        <v/>
      </c>
      <c r="L57" s="9">
        <f>SUMIFS(Budget!$Z:$Z,Budget!$A:$A,$A57)</f>
        <v/>
      </c>
      <c r="M57" s="9">
        <f>SUMIFS(Budget!$AA:$AA,Budget!$A:$A,$A57)</f>
        <v/>
      </c>
      <c r="N57" s="10">
        <f>SUM(B57:M57)</f>
        <v/>
      </c>
    </row>
    <row r="58">
      <c r="A58" s="5" t="inlineStr">
        <is>
          <t>Direct Mobile - ONS</t>
        </is>
      </c>
      <c r="B58" s="9">
        <f>SUMIFS(Budget!$P:$P,Budget!$A:$A,$A58)</f>
        <v/>
      </c>
      <c r="C58" s="9">
        <f>SUMIFS(Budget!$Q:$Q,Budget!$A:$A,$A58)</f>
        <v/>
      </c>
      <c r="D58" s="9">
        <f>SUMIFS(Budget!$R:$R,Budget!$A:$A,$A58)</f>
        <v/>
      </c>
      <c r="E58" s="9">
        <f>SUMIFS(Budget!$S:$S,Budget!$A:$A,$A58)</f>
        <v/>
      </c>
      <c r="F58" s="9">
        <f>SUMIFS(Budget!$T:$T,Budget!$A:$A,$A58)</f>
        <v/>
      </c>
      <c r="G58" s="9">
        <f>SUMIFS(Budget!$U:$U,Budget!$A:$A,$A58)</f>
        <v/>
      </c>
      <c r="H58" s="9">
        <f>SUMIFS(Budget!$V:$V,Budget!$A:$A,$A58)</f>
        <v/>
      </c>
      <c r="I58" s="9">
        <f>SUMIFS(Budget!$W:$W,Budget!$A:$A,$A58)</f>
        <v/>
      </c>
      <c r="J58" s="9">
        <f>SUMIFS(Budget!$X:$X,Budget!$A:$A,$A58)</f>
        <v/>
      </c>
      <c r="K58" s="9">
        <f>SUMIFS(Budget!$Y:$Y,Budget!$A:$A,$A58)</f>
        <v/>
      </c>
      <c r="L58" s="9">
        <f>SUMIFS(Budget!$Z:$Z,Budget!$A:$A,$A58)</f>
        <v/>
      </c>
      <c r="M58" s="9">
        <f>SUMIFS(Budget!$AA:$AA,Budget!$A:$A,$A58)</f>
        <v/>
      </c>
      <c r="N58" s="10">
        <f>SUM(B58:M58)</f>
        <v/>
      </c>
    </row>
    <row r="59">
      <c r="A59" s="5" t="inlineStr">
        <is>
          <t>Direct Mobile - PRD</t>
        </is>
      </c>
      <c r="B59" s="9">
        <f>SUMIFS(Budget!$P:$P,Budget!$A:$A,$A59)</f>
        <v/>
      </c>
      <c r="C59" s="9">
        <f>SUMIFS(Budget!$Q:$Q,Budget!$A:$A,$A59)</f>
        <v/>
      </c>
      <c r="D59" s="9">
        <f>SUMIFS(Budget!$R:$R,Budget!$A:$A,$A59)</f>
        <v/>
      </c>
      <c r="E59" s="9">
        <f>SUMIFS(Budget!$S:$S,Budget!$A:$A,$A59)</f>
        <v/>
      </c>
      <c r="F59" s="9">
        <f>SUMIFS(Budget!$T:$T,Budget!$A:$A,$A59)</f>
        <v/>
      </c>
      <c r="G59" s="9">
        <f>SUMIFS(Budget!$U:$U,Budget!$A:$A,$A59)</f>
        <v/>
      </c>
      <c r="H59" s="9">
        <f>SUMIFS(Budget!$V:$V,Budget!$A:$A,$A59)</f>
        <v/>
      </c>
      <c r="I59" s="9">
        <f>SUMIFS(Budget!$W:$W,Budget!$A:$A,$A59)</f>
        <v/>
      </c>
      <c r="J59" s="9">
        <f>SUMIFS(Budget!$X:$X,Budget!$A:$A,$A59)</f>
        <v/>
      </c>
      <c r="K59" s="9">
        <f>SUMIFS(Budget!$Y:$Y,Budget!$A:$A,$A59)</f>
        <v/>
      </c>
      <c r="L59" s="9">
        <f>SUMIFS(Budget!$Z:$Z,Budget!$A:$A,$A59)</f>
        <v/>
      </c>
      <c r="M59" s="9">
        <f>SUMIFS(Budget!$AA:$AA,Budget!$A:$A,$A59)</f>
        <v/>
      </c>
      <c r="N59" s="10">
        <f>SUM(B59:M59)</f>
        <v/>
      </c>
    </row>
    <row r="60">
      <c r="A60" s="5" t="inlineStr">
        <is>
          <t>Direct Mobile - VID</t>
        </is>
      </c>
      <c r="B60" s="9">
        <f>SUMIFS(Budget!$P:$P,Budget!$A:$A,$A60)</f>
        <v/>
      </c>
      <c r="C60" s="9">
        <f>SUMIFS(Budget!$Q:$Q,Budget!$A:$A,$A60)</f>
        <v/>
      </c>
      <c r="D60" s="9">
        <f>SUMIFS(Budget!$R:$R,Budget!$A:$A,$A60)</f>
        <v/>
      </c>
      <c r="E60" s="9">
        <f>SUMIFS(Budget!$S:$S,Budget!$A:$A,$A60)</f>
        <v/>
      </c>
      <c r="F60" s="9">
        <f>SUMIFS(Budget!$T:$T,Budget!$A:$A,$A60)</f>
        <v/>
      </c>
      <c r="G60" s="9">
        <f>SUMIFS(Budget!$U:$U,Budget!$A:$A,$A60)</f>
        <v/>
      </c>
      <c r="H60" s="9">
        <f>SUMIFS(Budget!$V:$V,Budget!$A:$A,$A60)</f>
        <v/>
      </c>
      <c r="I60" s="9">
        <f>SUMIFS(Budget!$W:$W,Budget!$A:$A,$A60)</f>
        <v/>
      </c>
      <c r="J60" s="9">
        <f>SUMIFS(Budget!$X:$X,Budget!$A:$A,$A60)</f>
        <v/>
      </c>
      <c r="K60" s="9">
        <f>SUMIFS(Budget!$Y:$Y,Budget!$A:$A,$A60)</f>
        <v/>
      </c>
      <c r="L60" s="9">
        <f>SUMIFS(Budget!$Z:$Z,Budget!$A:$A,$A60)</f>
        <v/>
      </c>
      <c r="M60" s="9">
        <f>SUMIFS(Budget!$AA:$AA,Budget!$A:$A,$A60)</f>
        <v/>
      </c>
      <c r="N60" s="10">
        <f>SUM(B60:M60)</f>
        <v/>
      </c>
    </row>
    <row r="61">
      <c r="A61" s="5" t="inlineStr">
        <is>
          <t>Direct Salaries - ADMIN</t>
        </is>
      </c>
      <c r="B61" s="9">
        <f>SUMIFS(Budget!$P:$P,Budget!$A:$A,$A61)</f>
        <v/>
      </c>
      <c r="C61" s="9">
        <f>SUMIFS(Budget!$Q:$Q,Budget!$A:$A,$A61)</f>
        <v/>
      </c>
      <c r="D61" s="9">
        <f>SUMIFS(Budget!$R:$R,Budget!$A:$A,$A61)</f>
        <v/>
      </c>
      <c r="E61" s="9">
        <f>SUMIFS(Budget!$S:$S,Budget!$A:$A,$A61)</f>
        <v/>
      </c>
      <c r="F61" s="9">
        <f>SUMIFS(Budget!$T:$T,Budget!$A:$A,$A61)</f>
        <v/>
      </c>
      <c r="G61" s="9">
        <f>SUMIFS(Budget!$U:$U,Budget!$A:$A,$A61)</f>
        <v/>
      </c>
      <c r="H61" s="9">
        <f>SUMIFS(Budget!$V:$V,Budget!$A:$A,$A61)</f>
        <v/>
      </c>
      <c r="I61" s="9">
        <f>SUMIFS(Budget!$W:$W,Budget!$A:$A,$A61)</f>
        <v/>
      </c>
      <c r="J61" s="9">
        <f>SUMIFS(Budget!$X:$X,Budget!$A:$A,$A61)</f>
        <v/>
      </c>
      <c r="K61" s="9">
        <f>SUMIFS(Budget!$Y:$Y,Budget!$A:$A,$A61)</f>
        <v/>
      </c>
      <c r="L61" s="9">
        <f>SUMIFS(Budget!$Z:$Z,Budget!$A:$A,$A61)</f>
        <v/>
      </c>
      <c r="M61" s="9">
        <f>SUMIFS(Budget!$AA:$AA,Budget!$A:$A,$A61)</f>
        <v/>
      </c>
      <c r="N61" s="10">
        <f>SUM(B61:M61)</f>
        <v/>
      </c>
    </row>
    <row r="62">
      <c r="A62" s="5" t="inlineStr">
        <is>
          <t>Direct Salaries - CONS</t>
        </is>
      </c>
      <c r="B62" s="9">
        <f>SUMIFS(Budget!$P:$P,Budget!$A:$A,$A62)</f>
        <v/>
      </c>
      <c r="C62" s="9">
        <f>SUMIFS(Budget!$Q:$Q,Budget!$A:$A,$A62)</f>
        <v/>
      </c>
      <c r="D62" s="9">
        <f>SUMIFS(Budget!$R:$R,Budget!$A:$A,$A62)</f>
        <v/>
      </c>
      <c r="E62" s="9">
        <f>SUMIFS(Budget!$S:$S,Budget!$A:$A,$A62)</f>
        <v/>
      </c>
      <c r="F62" s="9">
        <f>SUMIFS(Budget!$T:$T,Budget!$A:$A,$A62)</f>
        <v/>
      </c>
      <c r="G62" s="9">
        <f>SUMIFS(Budget!$U:$U,Budget!$A:$A,$A62)</f>
        <v/>
      </c>
      <c r="H62" s="9">
        <f>SUMIFS(Budget!$V:$V,Budget!$A:$A,$A62)</f>
        <v/>
      </c>
      <c r="I62" s="9">
        <f>SUMIFS(Budget!$W:$W,Budget!$A:$A,$A62)</f>
        <v/>
      </c>
      <c r="J62" s="9">
        <f>SUMIFS(Budget!$X:$X,Budget!$A:$A,$A62)</f>
        <v/>
      </c>
      <c r="K62" s="9">
        <f>SUMIFS(Budget!$Y:$Y,Budget!$A:$A,$A62)</f>
        <v/>
      </c>
      <c r="L62" s="9">
        <f>SUMIFS(Budget!$Z:$Z,Budget!$A:$A,$A62)</f>
        <v/>
      </c>
      <c r="M62" s="9">
        <f>SUMIFS(Budget!$AA:$AA,Budget!$A:$A,$A62)</f>
        <v/>
      </c>
      <c r="N62" s="10">
        <f>SUM(B62:M62)</f>
        <v/>
      </c>
    </row>
    <row r="63">
      <c r="A63" s="5" t="inlineStr">
        <is>
          <t>Direct Salaries - INTEGRATION</t>
        </is>
      </c>
      <c r="B63" s="9">
        <f>SUMIFS(Budget!$P:$P,Budget!$A:$A,$A63)</f>
        <v/>
      </c>
      <c r="C63" s="9">
        <f>SUMIFS(Budget!$Q:$Q,Budget!$A:$A,$A63)</f>
        <v/>
      </c>
      <c r="D63" s="9">
        <f>SUMIFS(Budget!$R:$R,Budget!$A:$A,$A63)</f>
        <v/>
      </c>
      <c r="E63" s="9">
        <f>SUMIFS(Budget!$S:$S,Budget!$A:$A,$A63)</f>
        <v/>
      </c>
      <c r="F63" s="9">
        <f>SUMIFS(Budget!$T:$T,Budget!$A:$A,$A63)</f>
        <v/>
      </c>
      <c r="G63" s="9">
        <f>SUMIFS(Budget!$U:$U,Budget!$A:$A,$A63)</f>
        <v/>
      </c>
      <c r="H63" s="9">
        <f>SUMIFS(Budget!$V:$V,Budget!$A:$A,$A63)</f>
        <v/>
      </c>
      <c r="I63" s="9">
        <f>SUMIFS(Budget!$W:$W,Budget!$A:$A,$A63)</f>
        <v/>
      </c>
      <c r="J63" s="9">
        <f>SUMIFS(Budget!$X:$X,Budget!$A:$A,$A63)</f>
        <v/>
      </c>
      <c r="K63" s="9">
        <f>SUMIFS(Budget!$Y:$Y,Budget!$A:$A,$A63)</f>
        <v/>
      </c>
      <c r="L63" s="9">
        <f>SUMIFS(Budget!$Z:$Z,Budget!$A:$A,$A63)</f>
        <v/>
      </c>
      <c r="M63" s="9">
        <f>SUMIFS(Budget!$AA:$AA,Budget!$A:$A,$A63)</f>
        <v/>
      </c>
      <c r="N63" s="10">
        <f>SUM(B63:M63)</f>
        <v/>
      </c>
    </row>
    <row r="64">
      <c r="A64" s="5" t="inlineStr">
        <is>
          <t>Direct Salaries - ONS</t>
        </is>
      </c>
      <c r="B64" s="9">
        <f>SUMIFS(Budget!$P:$P,Budget!$A:$A,$A64)</f>
        <v/>
      </c>
      <c r="C64" s="9">
        <f>SUMIFS(Budget!$Q:$Q,Budget!$A:$A,$A64)</f>
        <v/>
      </c>
      <c r="D64" s="9">
        <f>SUMIFS(Budget!$R:$R,Budget!$A:$A,$A64)</f>
        <v/>
      </c>
      <c r="E64" s="9">
        <f>SUMIFS(Budget!$S:$S,Budget!$A:$A,$A64)</f>
        <v/>
      </c>
      <c r="F64" s="9">
        <f>SUMIFS(Budget!$T:$T,Budget!$A:$A,$A64)</f>
        <v/>
      </c>
      <c r="G64" s="9">
        <f>SUMIFS(Budget!$U:$U,Budget!$A:$A,$A64)</f>
        <v/>
      </c>
      <c r="H64" s="9">
        <f>SUMIFS(Budget!$V:$V,Budget!$A:$A,$A64)</f>
        <v/>
      </c>
      <c r="I64" s="9">
        <f>SUMIFS(Budget!$W:$W,Budget!$A:$A,$A64)</f>
        <v/>
      </c>
      <c r="J64" s="9">
        <f>SUMIFS(Budget!$X:$X,Budget!$A:$A,$A64)</f>
        <v/>
      </c>
      <c r="K64" s="9">
        <f>SUMIFS(Budget!$Y:$Y,Budget!$A:$A,$A64)</f>
        <v/>
      </c>
      <c r="L64" s="9">
        <f>SUMIFS(Budget!$Z:$Z,Budget!$A:$A,$A64)</f>
        <v/>
      </c>
      <c r="M64" s="9">
        <f>SUMIFS(Budget!$AA:$AA,Budget!$A:$A,$A64)</f>
        <v/>
      </c>
      <c r="N64" s="10">
        <f>SUM(B64:M64)</f>
        <v/>
      </c>
    </row>
    <row r="65">
      <c r="A65" s="5" t="inlineStr">
        <is>
          <t>Direct Salaries - PRD</t>
        </is>
      </c>
      <c r="B65" s="9">
        <f>SUMIFS(Budget!$P:$P,Budget!$A:$A,$A65)</f>
        <v/>
      </c>
      <c r="C65" s="9">
        <f>SUMIFS(Budget!$Q:$Q,Budget!$A:$A,$A65)</f>
        <v/>
      </c>
      <c r="D65" s="9">
        <f>SUMIFS(Budget!$R:$R,Budget!$A:$A,$A65)</f>
        <v/>
      </c>
      <c r="E65" s="9">
        <f>SUMIFS(Budget!$S:$S,Budget!$A:$A,$A65)</f>
        <v/>
      </c>
      <c r="F65" s="9">
        <f>SUMIFS(Budget!$T:$T,Budget!$A:$A,$A65)</f>
        <v/>
      </c>
      <c r="G65" s="9">
        <f>SUMIFS(Budget!$U:$U,Budget!$A:$A,$A65)</f>
        <v/>
      </c>
      <c r="H65" s="9">
        <f>SUMIFS(Budget!$V:$V,Budget!$A:$A,$A65)</f>
        <v/>
      </c>
      <c r="I65" s="9">
        <f>SUMIFS(Budget!$W:$W,Budget!$A:$A,$A65)</f>
        <v/>
      </c>
      <c r="J65" s="9">
        <f>SUMIFS(Budget!$X:$X,Budget!$A:$A,$A65)</f>
        <v/>
      </c>
      <c r="K65" s="9">
        <f>SUMIFS(Budget!$Y:$Y,Budget!$A:$A,$A65)</f>
        <v/>
      </c>
      <c r="L65" s="9">
        <f>SUMIFS(Budget!$Z:$Z,Budget!$A:$A,$A65)</f>
        <v/>
      </c>
      <c r="M65" s="9">
        <f>SUMIFS(Budget!$AA:$AA,Budget!$A:$A,$A65)</f>
        <v/>
      </c>
      <c r="N65" s="10">
        <f>SUM(B65:M65)</f>
        <v/>
      </c>
    </row>
    <row r="66">
      <c r="A66" s="5" t="inlineStr">
        <is>
          <t>Direct Salaries - VID</t>
        </is>
      </c>
      <c r="B66" s="9">
        <f>SUMIFS(Budget!$P:$P,Budget!$A:$A,$A66)</f>
        <v/>
      </c>
      <c r="C66" s="9">
        <f>SUMIFS(Budget!$Q:$Q,Budget!$A:$A,$A66)</f>
        <v/>
      </c>
      <c r="D66" s="9">
        <f>SUMIFS(Budget!$R:$R,Budget!$A:$A,$A66)</f>
        <v/>
      </c>
      <c r="E66" s="9">
        <f>SUMIFS(Budget!$S:$S,Budget!$A:$A,$A66)</f>
        <v/>
      </c>
      <c r="F66" s="9">
        <f>SUMIFS(Budget!$T:$T,Budget!$A:$A,$A66)</f>
        <v/>
      </c>
      <c r="G66" s="9">
        <f>SUMIFS(Budget!$U:$U,Budget!$A:$A,$A66)</f>
        <v/>
      </c>
      <c r="H66" s="9">
        <f>SUMIFS(Budget!$V:$V,Budget!$A:$A,$A66)</f>
        <v/>
      </c>
      <c r="I66" s="9">
        <f>SUMIFS(Budget!$W:$W,Budget!$A:$A,$A66)</f>
        <v/>
      </c>
      <c r="J66" s="9">
        <f>SUMIFS(Budget!$X:$X,Budget!$A:$A,$A66)</f>
        <v/>
      </c>
      <c r="K66" s="9">
        <f>SUMIFS(Budget!$Y:$Y,Budget!$A:$A,$A66)</f>
        <v/>
      </c>
      <c r="L66" s="9">
        <f>SUMIFS(Budget!$Z:$Z,Budget!$A:$A,$A66)</f>
        <v/>
      </c>
      <c r="M66" s="9">
        <f>SUMIFS(Budget!$AA:$AA,Budget!$A:$A,$A66)</f>
        <v/>
      </c>
      <c r="N66" s="10">
        <f>SUM(B66:M66)</f>
        <v/>
      </c>
    </row>
    <row r="67">
      <c r="A67" s="5" t="inlineStr">
        <is>
          <t>Direct Superannuation - ADMIN</t>
        </is>
      </c>
      <c r="B67" s="9">
        <f>SUMIFS(Budget!$P:$P,Budget!$A:$A,$A67)</f>
        <v/>
      </c>
      <c r="C67" s="9">
        <f>SUMIFS(Budget!$Q:$Q,Budget!$A:$A,$A67)</f>
        <v/>
      </c>
      <c r="D67" s="9">
        <f>SUMIFS(Budget!$R:$R,Budget!$A:$A,$A67)</f>
        <v/>
      </c>
      <c r="E67" s="9">
        <f>SUMIFS(Budget!$S:$S,Budget!$A:$A,$A67)</f>
        <v/>
      </c>
      <c r="F67" s="9">
        <f>SUMIFS(Budget!$T:$T,Budget!$A:$A,$A67)</f>
        <v/>
      </c>
      <c r="G67" s="9">
        <f>SUMIFS(Budget!$U:$U,Budget!$A:$A,$A67)</f>
        <v/>
      </c>
      <c r="H67" s="9">
        <f>SUMIFS(Budget!$V:$V,Budget!$A:$A,$A67)</f>
        <v/>
      </c>
      <c r="I67" s="9">
        <f>SUMIFS(Budget!$W:$W,Budget!$A:$A,$A67)</f>
        <v/>
      </c>
      <c r="J67" s="9">
        <f>SUMIFS(Budget!$X:$X,Budget!$A:$A,$A67)</f>
        <v/>
      </c>
      <c r="K67" s="9">
        <f>SUMIFS(Budget!$Y:$Y,Budget!$A:$A,$A67)</f>
        <v/>
      </c>
      <c r="L67" s="9">
        <f>SUMIFS(Budget!$Z:$Z,Budget!$A:$A,$A67)</f>
        <v/>
      </c>
      <c r="M67" s="9">
        <f>SUMIFS(Budget!$AA:$AA,Budget!$A:$A,$A67)</f>
        <v/>
      </c>
      <c r="N67" s="10">
        <f>SUM(B67:M67)</f>
        <v/>
      </c>
    </row>
    <row r="68">
      <c r="A68" s="5" t="inlineStr">
        <is>
          <t>Direct Superannuation - CONS</t>
        </is>
      </c>
      <c r="B68" s="9">
        <f>SUMIFS(Budget!$P:$P,Budget!$A:$A,$A68)</f>
        <v/>
      </c>
      <c r="C68" s="9">
        <f>SUMIFS(Budget!$Q:$Q,Budget!$A:$A,$A68)</f>
        <v/>
      </c>
      <c r="D68" s="9">
        <f>SUMIFS(Budget!$R:$R,Budget!$A:$A,$A68)</f>
        <v/>
      </c>
      <c r="E68" s="9">
        <f>SUMIFS(Budget!$S:$S,Budget!$A:$A,$A68)</f>
        <v/>
      </c>
      <c r="F68" s="9">
        <f>SUMIFS(Budget!$T:$T,Budget!$A:$A,$A68)</f>
        <v/>
      </c>
      <c r="G68" s="9">
        <f>SUMIFS(Budget!$U:$U,Budget!$A:$A,$A68)</f>
        <v/>
      </c>
      <c r="H68" s="9">
        <f>SUMIFS(Budget!$V:$V,Budget!$A:$A,$A68)</f>
        <v/>
      </c>
      <c r="I68" s="9">
        <f>SUMIFS(Budget!$W:$W,Budget!$A:$A,$A68)</f>
        <v/>
      </c>
      <c r="J68" s="9">
        <f>SUMIFS(Budget!$X:$X,Budget!$A:$A,$A68)</f>
        <v/>
      </c>
      <c r="K68" s="9">
        <f>SUMIFS(Budget!$Y:$Y,Budget!$A:$A,$A68)</f>
        <v/>
      </c>
      <c r="L68" s="9">
        <f>SUMIFS(Budget!$Z:$Z,Budget!$A:$A,$A68)</f>
        <v/>
      </c>
      <c r="M68" s="9">
        <f>SUMIFS(Budget!$AA:$AA,Budget!$A:$A,$A68)</f>
        <v/>
      </c>
      <c r="N68" s="10">
        <f>SUM(B68:M68)</f>
        <v/>
      </c>
    </row>
    <row r="69">
      <c r="A69" s="5" t="inlineStr">
        <is>
          <t>Direct Superannuation - ONS</t>
        </is>
      </c>
      <c r="B69" s="9">
        <f>SUMIFS(Budget!$P:$P,Budget!$A:$A,$A69)</f>
        <v/>
      </c>
      <c r="C69" s="9">
        <f>SUMIFS(Budget!$Q:$Q,Budget!$A:$A,$A69)</f>
        <v/>
      </c>
      <c r="D69" s="9">
        <f>SUMIFS(Budget!$R:$R,Budget!$A:$A,$A69)</f>
        <v/>
      </c>
      <c r="E69" s="9">
        <f>SUMIFS(Budget!$S:$S,Budget!$A:$A,$A69)</f>
        <v/>
      </c>
      <c r="F69" s="9">
        <f>SUMIFS(Budget!$T:$T,Budget!$A:$A,$A69)</f>
        <v/>
      </c>
      <c r="G69" s="9">
        <f>SUMIFS(Budget!$U:$U,Budget!$A:$A,$A69)</f>
        <v/>
      </c>
      <c r="H69" s="9">
        <f>SUMIFS(Budget!$V:$V,Budget!$A:$A,$A69)</f>
        <v/>
      </c>
      <c r="I69" s="9">
        <f>SUMIFS(Budget!$W:$W,Budget!$A:$A,$A69)</f>
        <v/>
      </c>
      <c r="J69" s="9">
        <f>SUMIFS(Budget!$X:$X,Budget!$A:$A,$A69)</f>
        <v/>
      </c>
      <c r="K69" s="9">
        <f>SUMIFS(Budget!$Y:$Y,Budget!$A:$A,$A69)</f>
        <v/>
      </c>
      <c r="L69" s="9">
        <f>SUMIFS(Budget!$Z:$Z,Budget!$A:$A,$A69)</f>
        <v/>
      </c>
      <c r="M69" s="9">
        <f>SUMIFS(Budget!$AA:$AA,Budget!$A:$A,$A69)</f>
        <v/>
      </c>
      <c r="N69" s="10">
        <f>SUM(B69:M69)</f>
        <v/>
      </c>
    </row>
    <row r="70">
      <c r="A70" s="5" t="inlineStr">
        <is>
          <t>Direct Superannuation - PRD</t>
        </is>
      </c>
      <c r="B70" s="9">
        <f>SUMIFS(Budget!$P:$P,Budget!$A:$A,$A70)</f>
        <v/>
      </c>
      <c r="C70" s="9">
        <f>SUMIFS(Budget!$Q:$Q,Budget!$A:$A,$A70)</f>
        <v/>
      </c>
      <c r="D70" s="9">
        <f>SUMIFS(Budget!$R:$R,Budget!$A:$A,$A70)</f>
        <v/>
      </c>
      <c r="E70" s="9">
        <f>SUMIFS(Budget!$S:$S,Budget!$A:$A,$A70)</f>
        <v/>
      </c>
      <c r="F70" s="9">
        <f>SUMIFS(Budget!$T:$T,Budget!$A:$A,$A70)</f>
        <v/>
      </c>
      <c r="G70" s="9">
        <f>SUMIFS(Budget!$U:$U,Budget!$A:$A,$A70)</f>
        <v/>
      </c>
      <c r="H70" s="9">
        <f>SUMIFS(Budget!$V:$V,Budget!$A:$A,$A70)</f>
        <v/>
      </c>
      <c r="I70" s="9">
        <f>SUMIFS(Budget!$W:$W,Budget!$A:$A,$A70)</f>
        <v/>
      </c>
      <c r="J70" s="9">
        <f>SUMIFS(Budget!$X:$X,Budget!$A:$A,$A70)</f>
        <v/>
      </c>
      <c r="K70" s="9">
        <f>SUMIFS(Budget!$Y:$Y,Budget!$A:$A,$A70)</f>
        <v/>
      </c>
      <c r="L70" s="9">
        <f>SUMIFS(Budget!$Z:$Z,Budget!$A:$A,$A70)</f>
        <v/>
      </c>
      <c r="M70" s="9">
        <f>SUMIFS(Budget!$AA:$AA,Budget!$A:$A,$A70)</f>
        <v/>
      </c>
      <c r="N70" s="10">
        <f>SUM(B70:M70)</f>
        <v/>
      </c>
    </row>
    <row r="71">
      <c r="A71" s="5" t="inlineStr">
        <is>
          <t>Direct Superannuation - VID</t>
        </is>
      </c>
      <c r="B71" s="9">
        <f>SUMIFS(Budget!$P:$P,Budget!$A:$A,$A71)</f>
        <v/>
      </c>
      <c r="C71" s="9">
        <f>SUMIFS(Budget!$Q:$Q,Budget!$A:$A,$A71)</f>
        <v/>
      </c>
      <c r="D71" s="9">
        <f>SUMIFS(Budget!$R:$R,Budget!$A:$A,$A71)</f>
        <v/>
      </c>
      <c r="E71" s="9">
        <f>SUMIFS(Budget!$S:$S,Budget!$A:$A,$A71)</f>
        <v/>
      </c>
      <c r="F71" s="9">
        <f>SUMIFS(Budget!$T:$T,Budget!$A:$A,$A71)</f>
        <v/>
      </c>
      <c r="G71" s="9">
        <f>SUMIFS(Budget!$U:$U,Budget!$A:$A,$A71)</f>
        <v/>
      </c>
      <c r="H71" s="9">
        <f>SUMIFS(Budget!$V:$V,Budget!$A:$A,$A71)</f>
        <v/>
      </c>
      <c r="I71" s="9">
        <f>SUMIFS(Budget!$W:$W,Budget!$A:$A,$A71)</f>
        <v/>
      </c>
      <c r="J71" s="9">
        <f>SUMIFS(Budget!$X:$X,Budget!$A:$A,$A71)</f>
        <v/>
      </c>
      <c r="K71" s="9">
        <f>SUMIFS(Budget!$Y:$Y,Budget!$A:$A,$A71)</f>
        <v/>
      </c>
      <c r="L71" s="9">
        <f>SUMIFS(Budget!$Z:$Z,Budget!$A:$A,$A71)</f>
        <v/>
      </c>
      <c r="M71" s="9">
        <f>SUMIFS(Budget!$AA:$AA,Budget!$A:$A,$A71)</f>
        <v/>
      </c>
      <c r="N71" s="10">
        <f>SUM(B71:M71)</f>
        <v/>
      </c>
    </row>
    <row r="72">
      <c r="A72" s="5" t="inlineStr">
        <is>
          <t>Direct Superannuation-INTEGRATION</t>
        </is>
      </c>
      <c r="B72" s="9">
        <f>SUMIFS(Budget!$P:$P,Budget!$A:$A,$A72)</f>
        <v/>
      </c>
      <c r="C72" s="9">
        <f>SUMIFS(Budget!$Q:$Q,Budget!$A:$A,$A72)</f>
        <v/>
      </c>
      <c r="D72" s="9">
        <f>SUMIFS(Budget!$R:$R,Budget!$A:$A,$A72)</f>
        <v/>
      </c>
      <c r="E72" s="9">
        <f>SUMIFS(Budget!$S:$S,Budget!$A:$A,$A72)</f>
        <v/>
      </c>
      <c r="F72" s="9">
        <f>SUMIFS(Budget!$T:$T,Budget!$A:$A,$A72)</f>
        <v/>
      </c>
      <c r="G72" s="9">
        <f>SUMIFS(Budget!$U:$U,Budget!$A:$A,$A72)</f>
        <v/>
      </c>
      <c r="H72" s="9">
        <f>SUMIFS(Budget!$V:$V,Budget!$A:$A,$A72)</f>
        <v/>
      </c>
      <c r="I72" s="9">
        <f>SUMIFS(Budget!$W:$W,Budget!$A:$A,$A72)</f>
        <v/>
      </c>
      <c r="J72" s="9">
        <f>SUMIFS(Budget!$X:$X,Budget!$A:$A,$A72)</f>
        <v/>
      </c>
      <c r="K72" s="9">
        <f>SUMIFS(Budget!$Y:$Y,Budget!$A:$A,$A72)</f>
        <v/>
      </c>
      <c r="L72" s="9">
        <f>SUMIFS(Budget!$Z:$Z,Budget!$A:$A,$A72)</f>
        <v/>
      </c>
      <c r="M72" s="9">
        <f>SUMIFS(Budget!$AA:$AA,Budget!$A:$A,$A72)</f>
        <v/>
      </c>
      <c r="N72" s="10">
        <f>SUM(B72:M72)</f>
        <v/>
      </c>
    </row>
    <row r="73">
      <c r="A73" s="5" t="inlineStr">
        <is>
          <t>Direct Travel - ADMIN</t>
        </is>
      </c>
      <c r="B73" s="9">
        <f>SUMIFS(Budget!$P:$P,Budget!$A:$A,$A73)</f>
        <v/>
      </c>
      <c r="C73" s="9">
        <f>SUMIFS(Budget!$Q:$Q,Budget!$A:$A,$A73)</f>
        <v/>
      </c>
      <c r="D73" s="9">
        <f>SUMIFS(Budget!$R:$R,Budget!$A:$A,$A73)</f>
        <v/>
      </c>
      <c r="E73" s="9">
        <f>SUMIFS(Budget!$S:$S,Budget!$A:$A,$A73)</f>
        <v/>
      </c>
      <c r="F73" s="9">
        <f>SUMIFS(Budget!$T:$T,Budget!$A:$A,$A73)</f>
        <v/>
      </c>
      <c r="G73" s="9">
        <f>SUMIFS(Budget!$U:$U,Budget!$A:$A,$A73)</f>
        <v/>
      </c>
      <c r="H73" s="9">
        <f>SUMIFS(Budget!$V:$V,Budget!$A:$A,$A73)</f>
        <v/>
      </c>
      <c r="I73" s="9">
        <f>SUMIFS(Budget!$W:$W,Budget!$A:$A,$A73)</f>
        <v/>
      </c>
      <c r="J73" s="9">
        <f>SUMIFS(Budget!$X:$X,Budget!$A:$A,$A73)</f>
        <v/>
      </c>
      <c r="K73" s="9">
        <f>SUMIFS(Budget!$Y:$Y,Budget!$A:$A,$A73)</f>
        <v/>
      </c>
      <c r="L73" s="9">
        <f>SUMIFS(Budget!$Z:$Z,Budget!$A:$A,$A73)</f>
        <v/>
      </c>
      <c r="M73" s="9">
        <f>SUMIFS(Budget!$AA:$AA,Budget!$A:$A,$A73)</f>
        <v/>
      </c>
      <c r="N73" s="10">
        <f>SUM(B73:M73)</f>
        <v/>
      </c>
    </row>
    <row r="74">
      <c r="A74" s="5" t="inlineStr">
        <is>
          <t>Direct Travel - CONS</t>
        </is>
      </c>
      <c r="B74" s="9">
        <f>SUMIFS(Budget!$P:$P,Budget!$A:$A,$A74)</f>
        <v/>
      </c>
      <c r="C74" s="9">
        <f>SUMIFS(Budget!$Q:$Q,Budget!$A:$A,$A74)</f>
        <v/>
      </c>
      <c r="D74" s="9">
        <f>SUMIFS(Budget!$R:$R,Budget!$A:$A,$A74)</f>
        <v/>
      </c>
      <c r="E74" s="9">
        <f>SUMIFS(Budget!$S:$S,Budget!$A:$A,$A74)</f>
        <v/>
      </c>
      <c r="F74" s="9">
        <f>SUMIFS(Budget!$T:$T,Budget!$A:$A,$A74)</f>
        <v/>
      </c>
      <c r="G74" s="9">
        <f>SUMIFS(Budget!$U:$U,Budget!$A:$A,$A74)</f>
        <v/>
      </c>
      <c r="H74" s="9">
        <f>SUMIFS(Budget!$V:$V,Budget!$A:$A,$A74)</f>
        <v/>
      </c>
      <c r="I74" s="9">
        <f>SUMIFS(Budget!$W:$W,Budget!$A:$A,$A74)</f>
        <v/>
      </c>
      <c r="J74" s="9">
        <f>SUMIFS(Budget!$X:$X,Budget!$A:$A,$A74)</f>
        <v/>
      </c>
      <c r="K74" s="9">
        <f>SUMIFS(Budget!$Y:$Y,Budget!$A:$A,$A74)</f>
        <v/>
      </c>
      <c r="L74" s="9">
        <f>SUMIFS(Budget!$Z:$Z,Budget!$A:$A,$A74)</f>
        <v/>
      </c>
      <c r="M74" s="9">
        <f>SUMIFS(Budget!$AA:$AA,Budget!$A:$A,$A74)</f>
        <v/>
      </c>
      <c r="N74" s="10">
        <f>SUM(B74:M74)</f>
        <v/>
      </c>
    </row>
    <row r="75">
      <c r="A75" s="5" t="inlineStr">
        <is>
          <t>Direct Travel - INTEGRATION</t>
        </is>
      </c>
      <c r="B75" s="9">
        <f>SUMIFS(Budget!$P:$P,Budget!$A:$A,$A75)</f>
        <v/>
      </c>
      <c r="C75" s="9">
        <f>SUMIFS(Budget!$Q:$Q,Budget!$A:$A,$A75)</f>
        <v/>
      </c>
      <c r="D75" s="9">
        <f>SUMIFS(Budget!$R:$R,Budget!$A:$A,$A75)</f>
        <v/>
      </c>
      <c r="E75" s="9">
        <f>SUMIFS(Budget!$S:$S,Budget!$A:$A,$A75)</f>
        <v/>
      </c>
      <c r="F75" s="9">
        <f>SUMIFS(Budget!$T:$T,Budget!$A:$A,$A75)</f>
        <v/>
      </c>
      <c r="G75" s="9">
        <f>SUMIFS(Budget!$U:$U,Budget!$A:$A,$A75)</f>
        <v/>
      </c>
      <c r="H75" s="9">
        <f>SUMIFS(Budget!$V:$V,Budget!$A:$A,$A75)</f>
        <v/>
      </c>
      <c r="I75" s="9">
        <f>SUMIFS(Budget!$W:$W,Budget!$A:$A,$A75)</f>
        <v/>
      </c>
      <c r="J75" s="9">
        <f>SUMIFS(Budget!$X:$X,Budget!$A:$A,$A75)</f>
        <v/>
      </c>
      <c r="K75" s="9">
        <f>SUMIFS(Budget!$Y:$Y,Budget!$A:$A,$A75)</f>
        <v/>
      </c>
      <c r="L75" s="9">
        <f>SUMIFS(Budget!$Z:$Z,Budget!$A:$A,$A75)</f>
        <v/>
      </c>
      <c r="M75" s="9">
        <f>SUMIFS(Budget!$AA:$AA,Budget!$A:$A,$A75)</f>
        <v/>
      </c>
      <c r="N75" s="10">
        <f>SUM(B75:M75)</f>
        <v/>
      </c>
    </row>
    <row r="76">
      <c r="A76" s="5" t="inlineStr">
        <is>
          <t>Direct Travel - ONS</t>
        </is>
      </c>
      <c r="B76" s="9">
        <f>SUMIFS(Budget!$P:$P,Budget!$A:$A,$A76)</f>
        <v/>
      </c>
      <c r="C76" s="9">
        <f>SUMIFS(Budget!$Q:$Q,Budget!$A:$A,$A76)</f>
        <v/>
      </c>
      <c r="D76" s="9">
        <f>SUMIFS(Budget!$R:$R,Budget!$A:$A,$A76)</f>
        <v/>
      </c>
      <c r="E76" s="9">
        <f>SUMIFS(Budget!$S:$S,Budget!$A:$A,$A76)</f>
        <v/>
      </c>
      <c r="F76" s="9">
        <f>SUMIFS(Budget!$T:$T,Budget!$A:$A,$A76)</f>
        <v/>
      </c>
      <c r="G76" s="9">
        <f>SUMIFS(Budget!$U:$U,Budget!$A:$A,$A76)</f>
        <v/>
      </c>
      <c r="H76" s="9">
        <f>SUMIFS(Budget!$V:$V,Budget!$A:$A,$A76)</f>
        <v/>
      </c>
      <c r="I76" s="9">
        <f>SUMIFS(Budget!$W:$W,Budget!$A:$A,$A76)</f>
        <v/>
      </c>
      <c r="J76" s="9">
        <f>SUMIFS(Budget!$X:$X,Budget!$A:$A,$A76)</f>
        <v/>
      </c>
      <c r="K76" s="9">
        <f>SUMIFS(Budget!$Y:$Y,Budget!$A:$A,$A76)</f>
        <v/>
      </c>
      <c r="L76" s="9">
        <f>SUMIFS(Budget!$Z:$Z,Budget!$A:$A,$A76)</f>
        <v/>
      </c>
      <c r="M76" s="9">
        <f>SUMIFS(Budget!$AA:$AA,Budget!$A:$A,$A76)</f>
        <v/>
      </c>
      <c r="N76" s="10">
        <f>SUM(B76:M76)</f>
        <v/>
      </c>
    </row>
    <row r="77">
      <c r="A77" s="5" t="inlineStr">
        <is>
          <t>Direct Travel - PRD</t>
        </is>
      </c>
      <c r="B77" s="9">
        <f>SUMIFS(Budget!$P:$P,Budget!$A:$A,$A77)</f>
        <v/>
      </c>
      <c r="C77" s="9">
        <f>SUMIFS(Budget!$Q:$Q,Budget!$A:$A,$A77)</f>
        <v/>
      </c>
      <c r="D77" s="9">
        <f>SUMIFS(Budget!$R:$R,Budget!$A:$A,$A77)</f>
        <v/>
      </c>
      <c r="E77" s="9">
        <f>SUMIFS(Budget!$S:$S,Budget!$A:$A,$A77)</f>
        <v/>
      </c>
      <c r="F77" s="9">
        <f>SUMIFS(Budget!$T:$T,Budget!$A:$A,$A77)</f>
        <v/>
      </c>
      <c r="G77" s="9">
        <f>SUMIFS(Budget!$U:$U,Budget!$A:$A,$A77)</f>
        <v/>
      </c>
      <c r="H77" s="9">
        <f>SUMIFS(Budget!$V:$V,Budget!$A:$A,$A77)</f>
        <v/>
      </c>
      <c r="I77" s="9">
        <f>SUMIFS(Budget!$W:$W,Budget!$A:$A,$A77)</f>
        <v/>
      </c>
      <c r="J77" s="9">
        <f>SUMIFS(Budget!$X:$X,Budget!$A:$A,$A77)</f>
        <v/>
      </c>
      <c r="K77" s="9">
        <f>SUMIFS(Budget!$Y:$Y,Budget!$A:$A,$A77)</f>
        <v/>
      </c>
      <c r="L77" s="9">
        <f>SUMIFS(Budget!$Z:$Z,Budget!$A:$A,$A77)</f>
        <v/>
      </c>
      <c r="M77" s="9">
        <f>SUMIFS(Budget!$AA:$AA,Budget!$A:$A,$A77)</f>
        <v/>
      </c>
      <c r="N77" s="10">
        <f>SUM(B77:M77)</f>
        <v/>
      </c>
    </row>
    <row r="78">
      <c r="A78" s="5" t="inlineStr">
        <is>
          <t>Direct Travel - VID</t>
        </is>
      </c>
      <c r="B78" s="9">
        <f>SUMIFS(Budget!$P:$P,Budget!$A:$A,$A78)</f>
        <v/>
      </c>
      <c r="C78" s="9">
        <f>SUMIFS(Budget!$Q:$Q,Budget!$A:$A,$A78)</f>
        <v/>
      </c>
      <c r="D78" s="9">
        <f>SUMIFS(Budget!$R:$R,Budget!$A:$A,$A78)</f>
        <v/>
      </c>
      <c r="E78" s="9">
        <f>SUMIFS(Budget!$S:$S,Budget!$A:$A,$A78)</f>
        <v/>
      </c>
      <c r="F78" s="9">
        <f>SUMIFS(Budget!$T:$T,Budget!$A:$A,$A78)</f>
        <v/>
      </c>
      <c r="G78" s="9">
        <f>SUMIFS(Budget!$U:$U,Budget!$A:$A,$A78)</f>
        <v/>
      </c>
      <c r="H78" s="9">
        <f>SUMIFS(Budget!$V:$V,Budget!$A:$A,$A78)</f>
        <v/>
      </c>
      <c r="I78" s="9">
        <f>SUMIFS(Budget!$W:$W,Budget!$A:$A,$A78)</f>
        <v/>
      </c>
      <c r="J78" s="9">
        <f>SUMIFS(Budget!$X:$X,Budget!$A:$A,$A78)</f>
        <v/>
      </c>
      <c r="K78" s="9">
        <f>SUMIFS(Budget!$Y:$Y,Budget!$A:$A,$A78)</f>
        <v/>
      </c>
      <c r="L78" s="9">
        <f>SUMIFS(Budget!$Z:$Z,Budget!$A:$A,$A78)</f>
        <v/>
      </c>
      <c r="M78" s="9">
        <f>SUMIFS(Budget!$AA:$AA,Budget!$A:$A,$A78)</f>
        <v/>
      </c>
      <c r="N78" s="10">
        <f>SUM(B78:M78)</f>
        <v/>
      </c>
    </row>
    <row r="79">
      <c r="A79" s="5" t="inlineStr">
        <is>
          <t>Direct Wages - CONS</t>
        </is>
      </c>
      <c r="B79" s="9">
        <f>SUMIFS(Budget!$P:$P,Budget!$A:$A,$A79)</f>
        <v/>
      </c>
      <c r="C79" s="9">
        <f>SUMIFS(Budget!$Q:$Q,Budget!$A:$A,$A79)</f>
        <v/>
      </c>
      <c r="D79" s="9">
        <f>SUMIFS(Budget!$R:$R,Budget!$A:$A,$A79)</f>
        <v/>
      </c>
      <c r="E79" s="9">
        <f>SUMIFS(Budget!$S:$S,Budget!$A:$A,$A79)</f>
        <v/>
      </c>
      <c r="F79" s="9">
        <f>SUMIFS(Budget!$T:$T,Budget!$A:$A,$A79)</f>
        <v/>
      </c>
      <c r="G79" s="9">
        <f>SUMIFS(Budget!$U:$U,Budget!$A:$A,$A79)</f>
        <v/>
      </c>
      <c r="H79" s="9">
        <f>SUMIFS(Budget!$V:$V,Budget!$A:$A,$A79)</f>
        <v/>
      </c>
      <c r="I79" s="9">
        <f>SUMIFS(Budget!$W:$W,Budget!$A:$A,$A79)</f>
        <v/>
      </c>
      <c r="J79" s="9">
        <f>SUMIFS(Budget!$X:$X,Budget!$A:$A,$A79)</f>
        <v/>
      </c>
      <c r="K79" s="9">
        <f>SUMIFS(Budget!$Y:$Y,Budget!$A:$A,$A79)</f>
        <v/>
      </c>
      <c r="L79" s="9">
        <f>SUMIFS(Budget!$Z:$Z,Budget!$A:$A,$A79)</f>
        <v/>
      </c>
      <c r="M79" s="9">
        <f>SUMIFS(Budget!$AA:$AA,Budget!$A:$A,$A79)</f>
        <v/>
      </c>
      <c r="N79" s="10">
        <f>SUM(B79:M79)</f>
        <v/>
      </c>
    </row>
    <row r="80">
      <c r="A80" s="5" t="inlineStr">
        <is>
          <t>Direct Wages - INTEGRATION</t>
        </is>
      </c>
      <c r="B80" s="9">
        <f>SUMIFS(Budget!$P:$P,Budget!$A:$A,$A80)</f>
        <v/>
      </c>
      <c r="C80" s="9">
        <f>SUMIFS(Budget!$Q:$Q,Budget!$A:$A,$A80)</f>
        <v/>
      </c>
      <c r="D80" s="9">
        <f>SUMIFS(Budget!$R:$R,Budget!$A:$A,$A80)</f>
        <v/>
      </c>
      <c r="E80" s="9">
        <f>SUMIFS(Budget!$S:$S,Budget!$A:$A,$A80)</f>
        <v/>
      </c>
      <c r="F80" s="9">
        <f>SUMIFS(Budget!$T:$T,Budget!$A:$A,$A80)</f>
        <v/>
      </c>
      <c r="G80" s="9">
        <f>SUMIFS(Budget!$U:$U,Budget!$A:$A,$A80)</f>
        <v/>
      </c>
      <c r="H80" s="9">
        <f>SUMIFS(Budget!$V:$V,Budget!$A:$A,$A80)</f>
        <v/>
      </c>
      <c r="I80" s="9">
        <f>SUMIFS(Budget!$W:$W,Budget!$A:$A,$A80)</f>
        <v/>
      </c>
      <c r="J80" s="9">
        <f>SUMIFS(Budget!$X:$X,Budget!$A:$A,$A80)</f>
        <v/>
      </c>
      <c r="K80" s="9">
        <f>SUMIFS(Budget!$Y:$Y,Budget!$A:$A,$A80)</f>
        <v/>
      </c>
      <c r="L80" s="9">
        <f>SUMIFS(Budget!$Z:$Z,Budget!$A:$A,$A80)</f>
        <v/>
      </c>
      <c r="M80" s="9">
        <f>SUMIFS(Budget!$AA:$AA,Budget!$A:$A,$A80)</f>
        <v/>
      </c>
      <c r="N80" s="10">
        <f>SUM(B80:M80)</f>
        <v/>
      </c>
    </row>
    <row r="81">
      <c r="A81" s="5" t="inlineStr">
        <is>
          <t>Direct Wages - ONS</t>
        </is>
      </c>
      <c r="B81" s="9">
        <f>SUMIFS(Budget!$P:$P,Budget!$A:$A,$A81)</f>
        <v/>
      </c>
      <c r="C81" s="9">
        <f>SUMIFS(Budget!$Q:$Q,Budget!$A:$A,$A81)</f>
        <v/>
      </c>
      <c r="D81" s="9">
        <f>SUMIFS(Budget!$R:$R,Budget!$A:$A,$A81)</f>
        <v/>
      </c>
      <c r="E81" s="9">
        <f>SUMIFS(Budget!$S:$S,Budget!$A:$A,$A81)</f>
        <v/>
      </c>
      <c r="F81" s="9">
        <f>SUMIFS(Budget!$T:$T,Budget!$A:$A,$A81)</f>
        <v/>
      </c>
      <c r="G81" s="9">
        <f>SUMIFS(Budget!$U:$U,Budget!$A:$A,$A81)</f>
        <v/>
      </c>
      <c r="H81" s="9">
        <f>SUMIFS(Budget!$V:$V,Budget!$A:$A,$A81)</f>
        <v/>
      </c>
      <c r="I81" s="9">
        <f>SUMIFS(Budget!$W:$W,Budget!$A:$A,$A81)</f>
        <v/>
      </c>
      <c r="J81" s="9">
        <f>SUMIFS(Budget!$X:$X,Budget!$A:$A,$A81)</f>
        <v/>
      </c>
      <c r="K81" s="9">
        <f>SUMIFS(Budget!$Y:$Y,Budget!$A:$A,$A81)</f>
        <v/>
      </c>
      <c r="L81" s="9">
        <f>SUMIFS(Budget!$Z:$Z,Budget!$A:$A,$A81)</f>
        <v/>
      </c>
      <c r="M81" s="9">
        <f>SUMIFS(Budget!$AA:$AA,Budget!$A:$A,$A81)</f>
        <v/>
      </c>
      <c r="N81" s="10">
        <f>SUM(B81:M81)</f>
        <v/>
      </c>
    </row>
    <row r="82">
      <c r="A82" s="5" t="inlineStr">
        <is>
          <t>Direct Wages - PRD</t>
        </is>
      </c>
      <c r="B82" s="9">
        <f>SUMIFS(Budget!$P:$P,Budget!$A:$A,$A82)</f>
        <v/>
      </c>
      <c r="C82" s="9">
        <f>SUMIFS(Budget!$Q:$Q,Budget!$A:$A,$A82)</f>
        <v/>
      </c>
      <c r="D82" s="9">
        <f>SUMIFS(Budget!$R:$R,Budget!$A:$A,$A82)</f>
        <v/>
      </c>
      <c r="E82" s="9">
        <f>SUMIFS(Budget!$S:$S,Budget!$A:$A,$A82)</f>
        <v/>
      </c>
      <c r="F82" s="9">
        <f>SUMIFS(Budget!$T:$T,Budget!$A:$A,$A82)</f>
        <v/>
      </c>
      <c r="G82" s="9">
        <f>SUMIFS(Budget!$U:$U,Budget!$A:$A,$A82)</f>
        <v/>
      </c>
      <c r="H82" s="9">
        <f>SUMIFS(Budget!$V:$V,Budget!$A:$A,$A82)</f>
        <v/>
      </c>
      <c r="I82" s="9">
        <f>SUMIFS(Budget!$W:$W,Budget!$A:$A,$A82)</f>
        <v/>
      </c>
      <c r="J82" s="9">
        <f>SUMIFS(Budget!$X:$X,Budget!$A:$A,$A82)</f>
        <v/>
      </c>
      <c r="K82" s="9">
        <f>SUMIFS(Budget!$Y:$Y,Budget!$A:$A,$A82)</f>
        <v/>
      </c>
      <c r="L82" s="9">
        <f>SUMIFS(Budget!$Z:$Z,Budget!$A:$A,$A82)</f>
        <v/>
      </c>
      <c r="M82" s="9">
        <f>SUMIFS(Budget!$AA:$AA,Budget!$A:$A,$A82)</f>
        <v/>
      </c>
      <c r="N82" s="10">
        <f>SUM(B82:M82)</f>
        <v/>
      </c>
    </row>
    <row r="83">
      <c r="A83" s="5" t="inlineStr">
        <is>
          <t>Direct Wages - VID</t>
        </is>
      </c>
      <c r="B83" s="9">
        <f>SUMIFS(Budget!$P:$P,Budget!$A:$A,$A83)</f>
        <v/>
      </c>
      <c r="C83" s="9">
        <f>SUMIFS(Budget!$Q:$Q,Budget!$A:$A,$A83)</f>
        <v/>
      </c>
      <c r="D83" s="9">
        <f>SUMIFS(Budget!$R:$R,Budget!$A:$A,$A83)</f>
        <v/>
      </c>
      <c r="E83" s="9">
        <f>SUMIFS(Budget!$S:$S,Budget!$A:$A,$A83)</f>
        <v/>
      </c>
      <c r="F83" s="9">
        <f>SUMIFS(Budget!$T:$T,Budget!$A:$A,$A83)</f>
        <v/>
      </c>
      <c r="G83" s="9">
        <f>SUMIFS(Budget!$U:$U,Budget!$A:$A,$A83)</f>
        <v/>
      </c>
      <c r="H83" s="9">
        <f>SUMIFS(Budget!$V:$V,Budget!$A:$A,$A83)</f>
        <v/>
      </c>
      <c r="I83" s="9">
        <f>SUMIFS(Budget!$W:$W,Budget!$A:$A,$A83)</f>
        <v/>
      </c>
      <c r="J83" s="9">
        <f>SUMIFS(Budget!$X:$X,Budget!$A:$A,$A83)</f>
        <v/>
      </c>
      <c r="K83" s="9">
        <f>SUMIFS(Budget!$Y:$Y,Budget!$A:$A,$A83)</f>
        <v/>
      </c>
      <c r="L83" s="9">
        <f>SUMIFS(Budget!$Z:$Z,Budget!$A:$A,$A83)</f>
        <v/>
      </c>
      <c r="M83" s="9">
        <f>SUMIFS(Budget!$AA:$AA,Budget!$A:$A,$A83)</f>
        <v/>
      </c>
      <c r="N83" s="10">
        <f>SUM(B83:M83)</f>
        <v/>
      </c>
    </row>
    <row r="84">
      <c r="A84" s="5" t="inlineStr">
        <is>
          <t>Direct Workers Comp - ADMIN</t>
        </is>
      </c>
      <c r="B84" s="9">
        <f>SUMIFS(Budget!$P:$P,Budget!$A:$A,$A84)</f>
        <v/>
      </c>
      <c r="C84" s="9">
        <f>SUMIFS(Budget!$Q:$Q,Budget!$A:$A,$A84)</f>
        <v/>
      </c>
      <c r="D84" s="9">
        <f>SUMIFS(Budget!$R:$R,Budget!$A:$A,$A84)</f>
        <v/>
      </c>
      <c r="E84" s="9">
        <f>SUMIFS(Budget!$S:$S,Budget!$A:$A,$A84)</f>
        <v/>
      </c>
      <c r="F84" s="9">
        <f>SUMIFS(Budget!$T:$T,Budget!$A:$A,$A84)</f>
        <v/>
      </c>
      <c r="G84" s="9">
        <f>SUMIFS(Budget!$U:$U,Budget!$A:$A,$A84)</f>
        <v/>
      </c>
      <c r="H84" s="9">
        <f>SUMIFS(Budget!$V:$V,Budget!$A:$A,$A84)</f>
        <v/>
      </c>
      <c r="I84" s="9">
        <f>SUMIFS(Budget!$W:$W,Budget!$A:$A,$A84)</f>
        <v/>
      </c>
      <c r="J84" s="9">
        <f>SUMIFS(Budget!$X:$X,Budget!$A:$A,$A84)</f>
        <v/>
      </c>
      <c r="K84" s="9">
        <f>SUMIFS(Budget!$Y:$Y,Budget!$A:$A,$A84)</f>
        <v/>
      </c>
      <c r="L84" s="9">
        <f>SUMIFS(Budget!$Z:$Z,Budget!$A:$A,$A84)</f>
        <v/>
      </c>
      <c r="M84" s="9">
        <f>SUMIFS(Budget!$AA:$AA,Budget!$A:$A,$A84)</f>
        <v/>
      </c>
      <c r="N84" s="10">
        <f>SUM(B84:M84)</f>
        <v/>
      </c>
    </row>
    <row r="85">
      <c r="A85" s="5" t="inlineStr">
        <is>
          <t>Direct Workers Comp - CONS</t>
        </is>
      </c>
      <c r="B85" s="9">
        <f>SUMIFS(Budget!$P:$P,Budget!$A:$A,$A85)</f>
        <v/>
      </c>
      <c r="C85" s="9">
        <f>SUMIFS(Budget!$Q:$Q,Budget!$A:$A,$A85)</f>
        <v/>
      </c>
      <c r="D85" s="9">
        <f>SUMIFS(Budget!$R:$R,Budget!$A:$A,$A85)</f>
        <v/>
      </c>
      <c r="E85" s="9">
        <f>SUMIFS(Budget!$S:$S,Budget!$A:$A,$A85)</f>
        <v/>
      </c>
      <c r="F85" s="9">
        <f>SUMIFS(Budget!$T:$T,Budget!$A:$A,$A85)</f>
        <v/>
      </c>
      <c r="G85" s="9">
        <f>SUMIFS(Budget!$U:$U,Budget!$A:$A,$A85)</f>
        <v/>
      </c>
      <c r="H85" s="9">
        <f>SUMIFS(Budget!$V:$V,Budget!$A:$A,$A85)</f>
        <v/>
      </c>
      <c r="I85" s="9">
        <f>SUMIFS(Budget!$W:$W,Budget!$A:$A,$A85)</f>
        <v/>
      </c>
      <c r="J85" s="9">
        <f>SUMIFS(Budget!$X:$X,Budget!$A:$A,$A85)</f>
        <v/>
      </c>
      <c r="K85" s="9">
        <f>SUMIFS(Budget!$Y:$Y,Budget!$A:$A,$A85)</f>
        <v/>
      </c>
      <c r="L85" s="9">
        <f>SUMIFS(Budget!$Z:$Z,Budget!$A:$A,$A85)</f>
        <v/>
      </c>
      <c r="M85" s="9">
        <f>SUMIFS(Budget!$AA:$AA,Budget!$A:$A,$A85)</f>
        <v/>
      </c>
      <c r="N85" s="10">
        <f>SUM(B85:M85)</f>
        <v/>
      </c>
    </row>
    <row r="86">
      <c r="A86" s="5" t="inlineStr">
        <is>
          <t>Direct Workers Comp - INTEGRATION</t>
        </is>
      </c>
      <c r="B86" s="9">
        <f>SUMIFS(Budget!$P:$P,Budget!$A:$A,$A86)</f>
        <v/>
      </c>
      <c r="C86" s="9">
        <f>SUMIFS(Budget!$Q:$Q,Budget!$A:$A,$A86)</f>
        <v/>
      </c>
      <c r="D86" s="9">
        <f>SUMIFS(Budget!$R:$R,Budget!$A:$A,$A86)</f>
        <v/>
      </c>
      <c r="E86" s="9">
        <f>SUMIFS(Budget!$S:$S,Budget!$A:$A,$A86)</f>
        <v/>
      </c>
      <c r="F86" s="9">
        <f>SUMIFS(Budget!$T:$T,Budget!$A:$A,$A86)</f>
        <v/>
      </c>
      <c r="G86" s="9">
        <f>SUMIFS(Budget!$U:$U,Budget!$A:$A,$A86)</f>
        <v/>
      </c>
      <c r="H86" s="9">
        <f>SUMIFS(Budget!$V:$V,Budget!$A:$A,$A86)</f>
        <v/>
      </c>
      <c r="I86" s="9">
        <f>SUMIFS(Budget!$W:$W,Budget!$A:$A,$A86)</f>
        <v/>
      </c>
      <c r="J86" s="9">
        <f>SUMIFS(Budget!$X:$X,Budget!$A:$A,$A86)</f>
        <v/>
      </c>
      <c r="K86" s="9">
        <f>SUMIFS(Budget!$Y:$Y,Budget!$A:$A,$A86)</f>
        <v/>
      </c>
      <c r="L86" s="9">
        <f>SUMIFS(Budget!$Z:$Z,Budget!$A:$A,$A86)</f>
        <v/>
      </c>
      <c r="M86" s="9">
        <f>SUMIFS(Budget!$AA:$AA,Budget!$A:$A,$A86)</f>
        <v/>
      </c>
      <c r="N86" s="10">
        <f>SUM(B86:M86)</f>
        <v/>
      </c>
    </row>
    <row r="87">
      <c r="A87" s="5" t="inlineStr">
        <is>
          <t>Direct Workers Comp - ONS</t>
        </is>
      </c>
      <c r="B87" s="9">
        <f>SUMIFS(Budget!$P:$P,Budget!$A:$A,$A87)</f>
        <v/>
      </c>
      <c r="C87" s="9">
        <f>SUMIFS(Budget!$Q:$Q,Budget!$A:$A,$A87)</f>
        <v/>
      </c>
      <c r="D87" s="9">
        <f>SUMIFS(Budget!$R:$R,Budget!$A:$A,$A87)</f>
        <v/>
      </c>
      <c r="E87" s="9">
        <f>SUMIFS(Budget!$S:$S,Budget!$A:$A,$A87)</f>
        <v/>
      </c>
      <c r="F87" s="9">
        <f>SUMIFS(Budget!$T:$T,Budget!$A:$A,$A87)</f>
        <v/>
      </c>
      <c r="G87" s="9">
        <f>SUMIFS(Budget!$U:$U,Budget!$A:$A,$A87)</f>
        <v/>
      </c>
      <c r="H87" s="9">
        <f>SUMIFS(Budget!$V:$V,Budget!$A:$A,$A87)</f>
        <v/>
      </c>
      <c r="I87" s="9">
        <f>SUMIFS(Budget!$W:$W,Budget!$A:$A,$A87)</f>
        <v/>
      </c>
      <c r="J87" s="9">
        <f>SUMIFS(Budget!$X:$X,Budget!$A:$A,$A87)</f>
        <v/>
      </c>
      <c r="K87" s="9">
        <f>SUMIFS(Budget!$Y:$Y,Budget!$A:$A,$A87)</f>
        <v/>
      </c>
      <c r="L87" s="9">
        <f>SUMIFS(Budget!$Z:$Z,Budget!$A:$A,$A87)</f>
        <v/>
      </c>
      <c r="M87" s="9">
        <f>SUMIFS(Budget!$AA:$AA,Budget!$A:$A,$A87)</f>
        <v/>
      </c>
      <c r="N87" s="10">
        <f>SUM(B87:M87)</f>
        <v/>
      </c>
    </row>
    <row r="88">
      <c r="A88" s="5" t="inlineStr">
        <is>
          <t>Direct Workers Comp - PRD</t>
        </is>
      </c>
      <c r="B88" s="9">
        <f>SUMIFS(Budget!$P:$P,Budget!$A:$A,$A88)</f>
        <v/>
      </c>
      <c r="C88" s="9">
        <f>SUMIFS(Budget!$Q:$Q,Budget!$A:$A,$A88)</f>
        <v/>
      </c>
      <c r="D88" s="9">
        <f>SUMIFS(Budget!$R:$R,Budget!$A:$A,$A88)</f>
        <v/>
      </c>
      <c r="E88" s="9">
        <f>SUMIFS(Budget!$S:$S,Budget!$A:$A,$A88)</f>
        <v/>
      </c>
      <c r="F88" s="9">
        <f>SUMIFS(Budget!$T:$T,Budget!$A:$A,$A88)</f>
        <v/>
      </c>
      <c r="G88" s="9">
        <f>SUMIFS(Budget!$U:$U,Budget!$A:$A,$A88)</f>
        <v/>
      </c>
      <c r="H88" s="9">
        <f>SUMIFS(Budget!$V:$V,Budget!$A:$A,$A88)</f>
        <v/>
      </c>
      <c r="I88" s="9">
        <f>SUMIFS(Budget!$W:$W,Budget!$A:$A,$A88)</f>
        <v/>
      </c>
      <c r="J88" s="9">
        <f>SUMIFS(Budget!$X:$X,Budget!$A:$A,$A88)</f>
        <v/>
      </c>
      <c r="K88" s="9">
        <f>SUMIFS(Budget!$Y:$Y,Budget!$A:$A,$A88)</f>
        <v/>
      </c>
      <c r="L88" s="9">
        <f>SUMIFS(Budget!$Z:$Z,Budget!$A:$A,$A88)</f>
        <v/>
      </c>
      <c r="M88" s="9">
        <f>SUMIFS(Budget!$AA:$AA,Budget!$A:$A,$A88)</f>
        <v/>
      </c>
      <c r="N88" s="10">
        <f>SUM(B88:M88)</f>
        <v/>
      </c>
    </row>
    <row r="89">
      <c r="A89" s="5" t="inlineStr">
        <is>
          <t>Direct Workers Comp - VID</t>
        </is>
      </c>
      <c r="B89" s="9">
        <f>SUMIFS(Budget!$P:$P,Budget!$A:$A,$A89)</f>
        <v/>
      </c>
      <c r="C89" s="9">
        <f>SUMIFS(Budget!$Q:$Q,Budget!$A:$A,$A89)</f>
        <v/>
      </c>
      <c r="D89" s="9">
        <f>SUMIFS(Budget!$R:$R,Budget!$A:$A,$A89)</f>
        <v/>
      </c>
      <c r="E89" s="9">
        <f>SUMIFS(Budget!$S:$S,Budget!$A:$A,$A89)</f>
        <v/>
      </c>
      <c r="F89" s="9">
        <f>SUMIFS(Budget!$T:$T,Budget!$A:$A,$A89)</f>
        <v/>
      </c>
      <c r="G89" s="9">
        <f>SUMIFS(Budget!$U:$U,Budget!$A:$A,$A89)</f>
        <v/>
      </c>
      <c r="H89" s="9">
        <f>SUMIFS(Budget!$V:$V,Budget!$A:$A,$A89)</f>
        <v/>
      </c>
      <c r="I89" s="9">
        <f>SUMIFS(Budget!$W:$W,Budget!$A:$A,$A89)</f>
        <v/>
      </c>
      <c r="J89" s="9">
        <f>SUMIFS(Budget!$X:$X,Budget!$A:$A,$A89)</f>
        <v/>
      </c>
      <c r="K89" s="9">
        <f>SUMIFS(Budget!$Y:$Y,Budget!$A:$A,$A89)</f>
        <v/>
      </c>
      <c r="L89" s="9">
        <f>SUMIFS(Budget!$Z:$Z,Budget!$A:$A,$A89)</f>
        <v/>
      </c>
      <c r="M89" s="9">
        <f>SUMIFS(Budget!$AA:$AA,Budget!$A:$A,$A89)</f>
        <v/>
      </c>
      <c r="N89" s="10">
        <f>SUM(B89:M89)</f>
        <v/>
      </c>
    </row>
    <row r="90">
      <c r="A90" s="5" t="inlineStr">
        <is>
          <t>Discounts Given</t>
        </is>
      </c>
      <c r="B90" s="9">
        <f>SUMIFS(Budget!$P:$P,Budget!$A:$A,$A90)</f>
        <v/>
      </c>
      <c r="C90" s="9">
        <f>SUMIFS(Budget!$Q:$Q,Budget!$A:$A,$A90)</f>
        <v/>
      </c>
      <c r="D90" s="9">
        <f>SUMIFS(Budget!$R:$R,Budget!$A:$A,$A90)</f>
        <v/>
      </c>
      <c r="E90" s="9">
        <f>SUMIFS(Budget!$S:$S,Budget!$A:$A,$A90)</f>
        <v/>
      </c>
      <c r="F90" s="9">
        <f>SUMIFS(Budget!$T:$T,Budget!$A:$A,$A90)</f>
        <v/>
      </c>
      <c r="G90" s="9">
        <f>SUMIFS(Budget!$U:$U,Budget!$A:$A,$A90)</f>
        <v/>
      </c>
      <c r="H90" s="9">
        <f>SUMIFS(Budget!$V:$V,Budget!$A:$A,$A90)</f>
        <v/>
      </c>
      <c r="I90" s="9">
        <f>SUMIFS(Budget!$W:$W,Budget!$A:$A,$A90)</f>
        <v/>
      </c>
      <c r="J90" s="9">
        <f>SUMIFS(Budget!$X:$X,Budget!$A:$A,$A90)</f>
        <v/>
      </c>
      <c r="K90" s="9">
        <f>SUMIFS(Budget!$Y:$Y,Budget!$A:$A,$A90)</f>
        <v/>
      </c>
      <c r="L90" s="9">
        <f>SUMIFS(Budget!$Z:$Z,Budget!$A:$A,$A90)</f>
        <v/>
      </c>
      <c r="M90" s="9">
        <f>SUMIFS(Budget!$AA:$AA,Budget!$A:$A,$A90)</f>
        <v/>
      </c>
      <c r="N90" s="10">
        <f>SUM(B90:M90)</f>
        <v/>
      </c>
    </row>
    <row r="91">
      <c r="A91" s="5" t="inlineStr">
        <is>
          <t>Equipment - Hires</t>
        </is>
      </c>
      <c r="B91" s="9">
        <f>SUMIFS(Budget!$P:$P,Budget!$A:$A,$A91)</f>
        <v/>
      </c>
      <c r="C91" s="9">
        <f>SUMIFS(Budget!$Q:$Q,Budget!$A:$A,$A91)</f>
        <v/>
      </c>
      <c r="D91" s="9">
        <f>SUMIFS(Budget!$R:$R,Budget!$A:$A,$A91)</f>
        <v/>
      </c>
      <c r="E91" s="9">
        <f>SUMIFS(Budget!$S:$S,Budget!$A:$A,$A91)</f>
        <v/>
      </c>
      <c r="F91" s="9">
        <f>SUMIFS(Budget!$T:$T,Budget!$A:$A,$A91)</f>
        <v/>
      </c>
      <c r="G91" s="9">
        <f>SUMIFS(Budget!$U:$U,Budget!$A:$A,$A91)</f>
        <v/>
      </c>
      <c r="H91" s="9">
        <f>SUMIFS(Budget!$V:$V,Budget!$A:$A,$A91)</f>
        <v/>
      </c>
      <c r="I91" s="9">
        <f>SUMIFS(Budget!$W:$W,Budget!$A:$A,$A91)</f>
        <v/>
      </c>
      <c r="J91" s="9">
        <f>SUMIFS(Budget!$X:$X,Budget!$A:$A,$A91)</f>
        <v/>
      </c>
      <c r="K91" s="9">
        <f>SUMIFS(Budget!$Y:$Y,Budget!$A:$A,$A91)</f>
        <v/>
      </c>
      <c r="L91" s="9">
        <f>SUMIFS(Budget!$Z:$Z,Budget!$A:$A,$A91)</f>
        <v/>
      </c>
      <c r="M91" s="9">
        <f>SUMIFS(Budget!$AA:$AA,Budget!$A:$A,$A91)</f>
        <v/>
      </c>
      <c r="N91" s="10">
        <f>SUM(B91:M91)</f>
        <v/>
      </c>
    </row>
    <row r="92">
      <c r="A92" s="5" t="inlineStr">
        <is>
          <t>Equipment - Purchase</t>
        </is>
      </c>
      <c r="B92" s="9">
        <f>SUMIFS(Budget!$P:$P,Budget!$A:$A,$A92)</f>
        <v/>
      </c>
      <c r="C92" s="9">
        <f>SUMIFS(Budget!$Q:$Q,Budget!$A:$A,$A92)</f>
        <v/>
      </c>
      <c r="D92" s="9">
        <f>SUMIFS(Budget!$R:$R,Budget!$A:$A,$A92)</f>
        <v/>
      </c>
      <c r="E92" s="9">
        <f>SUMIFS(Budget!$S:$S,Budget!$A:$A,$A92)</f>
        <v/>
      </c>
      <c r="F92" s="9">
        <f>SUMIFS(Budget!$T:$T,Budget!$A:$A,$A92)</f>
        <v/>
      </c>
      <c r="G92" s="9">
        <f>SUMIFS(Budget!$U:$U,Budget!$A:$A,$A92)</f>
        <v/>
      </c>
      <c r="H92" s="9">
        <f>SUMIFS(Budget!$V:$V,Budget!$A:$A,$A92)</f>
        <v/>
      </c>
      <c r="I92" s="9">
        <f>SUMIFS(Budget!$W:$W,Budget!$A:$A,$A92)</f>
        <v/>
      </c>
      <c r="J92" s="9">
        <f>SUMIFS(Budget!$X:$X,Budget!$A:$A,$A92)</f>
        <v/>
      </c>
      <c r="K92" s="9">
        <f>SUMIFS(Budget!$Y:$Y,Budget!$A:$A,$A92)</f>
        <v/>
      </c>
      <c r="L92" s="9">
        <f>SUMIFS(Budget!$Z:$Z,Budget!$A:$A,$A92)</f>
        <v/>
      </c>
      <c r="M92" s="9">
        <f>SUMIFS(Budget!$AA:$AA,Budget!$A:$A,$A92)</f>
        <v/>
      </c>
      <c r="N92" s="10">
        <f>SUM(B92:M92)</f>
        <v/>
      </c>
    </row>
    <row r="93">
      <c r="A93" s="5" t="inlineStr">
        <is>
          <t>Equipment -Maintenance Support</t>
        </is>
      </c>
      <c r="B93" s="9">
        <f>SUMIFS(Budget!$P:$P,Budget!$A:$A,$A93)</f>
        <v/>
      </c>
      <c r="C93" s="9">
        <f>SUMIFS(Budget!$Q:$Q,Budget!$A:$A,$A93)</f>
        <v/>
      </c>
      <c r="D93" s="9">
        <f>SUMIFS(Budget!$R:$R,Budget!$A:$A,$A93)</f>
        <v/>
      </c>
      <c r="E93" s="9">
        <f>SUMIFS(Budget!$S:$S,Budget!$A:$A,$A93)</f>
        <v/>
      </c>
      <c r="F93" s="9">
        <f>SUMIFS(Budget!$T:$T,Budget!$A:$A,$A93)</f>
        <v/>
      </c>
      <c r="G93" s="9">
        <f>SUMIFS(Budget!$U:$U,Budget!$A:$A,$A93)</f>
        <v/>
      </c>
      <c r="H93" s="9">
        <f>SUMIFS(Budget!$V:$V,Budget!$A:$A,$A93)</f>
        <v/>
      </c>
      <c r="I93" s="9">
        <f>SUMIFS(Budget!$W:$W,Budget!$A:$A,$A93)</f>
        <v/>
      </c>
      <c r="J93" s="9">
        <f>SUMIFS(Budget!$X:$X,Budget!$A:$A,$A93)</f>
        <v/>
      </c>
      <c r="K93" s="9">
        <f>SUMIFS(Budget!$Y:$Y,Budget!$A:$A,$A93)</f>
        <v/>
      </c>
      <c r="L93" s="9">
        <f>SUMIFS(Budget!$Z:$Z,Budget!$A:$A,$A93)</f>
        <v/>
      </c>
      <c r="M93" s="9">
        <f>SUMIFS(Budget!$AA:$AA,Budget!$A:$A,$A93)</f>
        <v/>
      </c>
      <c r="N93" s="10">
        <f>SUM(B93:M93)</f>
        <v/>
      </c>
    </row>
    <row r="94">
      <c r="A94" s="5" t="inlineStr">
        <is>
          <t>Service - hires</t>
        </is>
      </c>
      <c r="B94" s="9">
        <f>SUMIFS(Budget!$P:$P,Budget!$A:$A,$A94)</f>
        <v/>
      </c>
      <c r="C94" s="9">
        <f>SUMIFS(Budget!$Q:$Q,Budget!$A:$A,$A94)</f>
        <v/>
      </c>
      <c r="D94" s="9">
        <f>SUMIFS(Budget!$R:$R,Budget!$A:$A,$A94)</f>
        <v/>
      </c>
      <c r="E94" s="9">
        <f>SUMIFS(Budget!$S:$S,Budget!$A:$A,$A94)</f>
        <v/>
      </c>
      <c r="F94" s="9">
        <f>SUMIFS(Budget!$T:$T,Budget!$A:$A,$A94)</f>
        <v/>
      </c>
      <c r="G94" s="9">
        <f>SUMIFS(Budget!$U:$U,Budget!$A:$A,$A94)</f>
        <v/>
      </c>
      <c r="H94" s="9">
        <f>SUMIFS(Budget!$V:$V,Budget!$A:$A,$A94)</f>
        <v/>
      </c>
      <c r="I94" s="9">
        <f>SUMIFS(Budget!$W:$W,Budget!$A:$A,$A94)</f>
        <v/>
      </c>
      <c r="J94" s="9">
        <f>SUMIFS(Budget!$X:$X,Budget!$A:$A,$A94)</f>
        <v/>
      </c>
      <c r="K94" s="9">
        <f>SUMIFS(Budget!$Y:$Y,Budget!$A:$A,$A94)</f>
        <v/>
      </c>
      <c r="L94" s="9">
        <f>SUMIFS(Budget!$Z:$Z,Budget!$A:$A,$A94)</f>
        <v/>
      </c>
      <c r="M94" s="9">
        <f>SUMIFS(Budget!$AA:$AA,Budget!$A:$A,$A94)</f>
        <v/>
      </c>
      <c r="N94" s="10">
        <f>SUM(B94:M94)</f>
        <v/>
      </c>
    </row>
    <row r="95">
      <c r="A95" s="5" t="inlineStr">
        <is>
          <t>Stamp Duty</t>
        </is>
      </c>
      <c r="B95" s="9">
        <f>SUMIFS(Budget!$P:$P,Budget!$A:$A,$A95)</f>
        <v/>
      </c>
      <c r="C95" s="9">
        <f>SUMIFS(Budget!$Q:$Q,Budget!$A:$A,$A95)</f>
        <v/>
      </c>
      <c r="D95" s="9">
        <f>SUMIFS(Budget!$R:$R,Budget!$A:$A,$A95)</f>
        <v/>
      </c>
      <c r="E95" s="9">
        <f>SUMIFS(Budget!$S:$S,Budget!$A:$A,$A95)</f>
        <v/>
      </c>
      <c r="F95" s="9">
        <f>SUMIFS(Budget!$T:$T,Budget!$A:$A,$A95)</f>
        <v/>
      </c>
      <c r="G95" s="9">
        <f>SUMIFS(Budget!$U:$U,Budget!$A:$A,$A95)</f>
        <v/>
      </c>
      <c r="H95" s="9">
        <f>SUMIFS(Budget!$V:$V,Budget!$A:$A,$A95)</f>
        <v/>
      </c>
      <c r="I95" s="9">
        <f>SUMIFS(Budget!$W:$W,Budget!$A:$A,$A95)</f>
        <v/>
      </c>
      <c r="J95" s="9">
        <f>SUMIFS(Budget!$X:$X,Budget!$A:$A,$A95)</f>
        <v/>
      </c>
      <c r="K95" s="9">
        <f>SUMIFS(Budget!$Y:$Y,Budget!$A:$A,$A95)</f>
        <v/>
      </c>
      <c r="L95" s="9">
        <f>SUMIFS(Budget!$Z:$Z,Budget!$A:$A,$A95)</f>
        <v/>
      </c>
      <c r="M95" s="9">
        <f>SUMIFS(Budget!$AA:$AA,Budget!$A:$A,$A95)</f>
        <v/>
      </c>
      <c r="N95" s="10">
        <f>SUM(B95:M95)</f>
        <v/>
      </c>
    </row>
    <row r="96">
      <c r="A96" s="5" t="inlineStr">
        <is>
          <t>Sub-Contract Labour - ADMIN</t>
        </is>
      </c>
      <c r="B96" s="9">
        <f>SUMIFS(Budget!$P:$P,Budget!$A:$A,$A96)</f>
        <v/>
      </c>
      <c r="C96" s="9">
        <f>SUMIFS(Budget!$Q:$Q,Budget!$A:$A,$A96)</f>
        <v/>
      </c>
      <c r="D96" s="9">
        <f>SUMIFS(Budget!$R:$R,Budget!$A:$A,$A96)</f>
        <v/>
      </c>
      <c r="E96" s="9">
        <f>SUMIFS(Budget!$S:$S,Budget!$A:$A,$A96)</f>
        <v/>
      </c>
      <c r="F96" s="9">
        <f>SUMIFS(Budget!$T:$T,Budget!$A:$A,$A96)</f>
        <v/>
      </c>
      <c r="G96" s="9">
        <f>SUMIFS(Budget!$U:$U,Budget!$A:$A,$A96)</f>
        <v/>
      </c>
      <c r="H96" s="9">
        <f>SUMIFS(Budget!$V:$V,Budget!$A:$A,$A96)</f>
        <v/>
      </c>
      <c r="I96" s="9">
        <f>SUMIFS(Budget!$W:$W,Budget!$A:$A,$A96)</f>
        <v/>
      </c>
      <c r="J96" s="9">
        <f>SUMIFS(Budget!$X:$X,Budget!$A:$A,$A96)</f>
        <v/>
      </c>
      <c r="K96" s="9">
        <f>SUMIFS(Budget!$Y:$Y,Budget!$A:$A,$A96)</f>
        <v/>
      </c>
      <c r="L96" s="9">
        <f>SUMIFS(Budget!$Z:$Z,Budget!$A:$A,$A96)</f>
        <v/>
      </c>
      <c r="M96" s="9">
        <f>SUMIFS(Budget!$AA:$AA,Budget!$A:$A,$A96)</f>
        <v/>
      </c>
      <c r="N96" s="10">
        <f>SUM(B96:M96)</f>
        <v/>
      </c>
    </row>
    <row r="97">
      <c r="A97" s="5" t="inlineStr">
        <is>
          <t>Sub-Contract Labour - CONS</t>
        </is>
      </c>
      <c r="B97" s="9">
        <f>SUMIFS(Budget!$P:$P,Budget!$A:$A,$A97)</f>
        <v/>
      </c>
      <c r="C97" s="9">
        <f>SUMIFS(Budget!$Q:$Q,Budget!$A:$A,$A97)</f>
        <v/>
      </c>
      <c r="D97" s="9">
        <f>SUMIFS(Budget!$R:$R,Budget!$A:$A,$A97)</f>
        <v/>
      </c>
      <c r="E97" s="9">
        <f>SUMIFS(Budget!$S:$S,Budget!$A:$A,$A97)</f>
        <v/>
      </c>
      <c r="F97" s="9">
        <f>SUMIFS(Budget!$T:$T,Budget!$A:$A,$A97)</f>
        <v/>
      </c>
      <c r="G97" s="9">
        <f>SUMIFS(Budget!$U:$U,Budget!$A:$A,$A97)</f>
        <v/>
      </c>
      <c r="H97" s="9">
        <f>SUMIFS(Budget!$V:$V,Budget!$A:$A,$A97)</f>
        <v/>
      </c>
      <c r="I97" s="9">
        <f>SUMIFS(Budget!$W:$W,Budget!$A:$A,$A97)</f>
        <v/>
      </c>
      <c r="J97" s="9">
        <f>SUMIFS(Budget!$X:$X,Budget!$A:$A,$A97)</f>
        <v/>
      </c>
      <c r="K97" s="9">
        <f>SUMIFS(Budget!$Y:$Y,Budget!$A:$A,$A97)</f>
        <v/>
      </c>
      <c r="L97" s="9">
        <f>SUMIFS(Budget!$Z:$Z,Budget!$A:$A,$A97)</f>
        <v/>
      </c>
      <c r="M97" s="9">
        <f>SUMIFS(Budget!$AA:$AA,Budget!$A:$A,$A97)</f>
        <v/>
      </c>
      <c r="N97" s="10">
        <f>SUM(B97:M97)</f>
        <v/>
      </c>
    </row>
    <row r="98">
      <c r="A98" s="5" t="inlineStr">
        <is>
          <t>Sub-Contract Labour - INTEGRATION</t>
        </is>
      </c>
      <c r="B98" s="9">
        <f>SUMIFS(Budget!$P:$P,Budget!$A:$A,$A98)</f>
        <v/>
      </c>
      <c r="C98" s="9">
        <f>SUMIFS(Budget!$Q:$Q,Budget!$A:$A,$A98)</f>
        <v/>
      </c>
      <c r="D98" s="9">
        <f>SUMIFS(Budget!$R:$R,Budget!$A:$A,$A98)</f>
        <v/>
      </c>
      <c r="E98" s="9">
        <f>SUMIFS(Budget!$S:$S,Budget!$A:$A,$A98)</f>
        <v/>
      </c>
      <c r="F98" s="9">
        <f>SUMIFS(Budget!$T:$T,Budget!$A:$A,$A98)</f>
        <v/>
      </c>
      <c r="G98" s="9">
        <f>SUMIFS(Budget!$U:$U,Budget!$A:$A,$A98)</f>
        <v/>
      </c>
      <c r="H98" s="9">
        <f>SUMIFS(Budget!$V:$V,Budget!$A:$A,$A98)</f>
        <v/>
      </c>
      <c r="I98" s="9">
        <f>SUMIFS(Budget!$W:$W,Budget!$A:$A,$A98)</f>
        <v/>
      </c>
      <c r="J98" s="9">
        <f>SUMIFS(Budget!$X:$X,Budget!$A:$A,$A98)</f>
        <v/>
      </c>
      <c r="K98" s="9">
        <f>SUMIFS(Budget!$Y:$Y,Budget!$A:$A,$A98)</f>
        <v/>
      </c>
      <c r="L98" s="9">
        <f>SUMIFS(Budget!$Z:$Z,Budget!$A:$A,$A98)</f>
        <v/>
      </c>
      <c r="M98" s="9">
        <f>SUMIFS(Budget!$AA:$AA,Budget!$A:$A,$A98)</f>
        <v/>
      </c>
      <c r="N98" s="10">
        <f>SUM(B98:M98)</f>
        <v/>
      </c>
    </row>
    <row r="99">
      <c r="A99" s="5" t="inlineStr">
        <is>
          <t>Sub-Contract Labour - ONS</t>
        </is>
      </c>
      <c r="B99" s="9">
        <f>SUMIFS(Budget!$P:$P,Budget!$A:$A,$A99)</f>
        <v/>
      </c>
      <c r="C99" s="9">
        <f>SUMIFS(Budget!$Q:$Q,Budget!$A:$A,$A99)</f>
        <v/>
      </c>
      <c r="D99" s="9">
        <f>SUMIFS(Budget!$R:$R,Budget!$A:$A,$A99)</f>
        <v/>
      </c>
      <c r="E99" s="9">
        <f>SUMIFS(Budget!$S:$S,Budget!$A:$A,$A99)</f>
        <v/>
      </c>
      <c r="F99" s="9">
        <f>SUMIFS(Budget!$T:$T,Budget!$A:$A,$A99)</f>
        <v/>
      </c>
      <c r="G99" s="9">
        <f>SUMIFS(Budget!$U:$U,Budget!$A:$A,$A99)</f>
        <v/>
      </c>
      <c r="H99" s="9">
        <f>SUMIFS(Budget!$V:$V,Budget!$A:$A,$A99)</f>
        <v/>
      </c>
      <c r="I99" s="9">
        <f>SUMIFS(Budget!$W:$W,Budget!$A:$A,$A99)</f>
        <v/>
      </c>
      <c r="J99" s="9">
        <f>SUMIFS(Budget!$X:$X,Budget!$A:$A,$A99)</f>
        <v/>
      </c>
      <c r="K99" s="9">
        <f>SUMIFS(Budget!$Y:$Y,Budget!$A:$A,$A99)</f>
        <v/>
      </c>
      <c r="L99" s="9">
        <f>SUMIFS(Budget!$Z:$Z,Budget!$A:$A,$A99)</f>
        <v/>
      </c>
      <c r="M99" s="9">
        <f>SUMIFS(Budget!$AA:$AA,Budget!$A:$A,$A99)</f>
        <v/>
      </c>
      <c r="N99" s="10">
        <f>SUM(B99:M99)</f>
        <v/>
      </c>
    </row>
    <row r="100">
      <c r="A100" s="5" t="inlineStr">
        <is>
          <t>Sub-Contract Labour - PRD</t>
        </is>
      </c>
      <c r="B100" s="9">
        <f>SUMIFS(Budget!$P:$P,Budget!$A:$A,$A100)</f>
        <v/>
      </c>
      <c r="C100" s="9">
        <f>SUMIFS(Budget!$Q:$Q,Budget!$A:$A,$A100)</f>
        <v/>
      </c>
      <c r="D100" s="9">
        <f>SUMIFS(Budget!$R:$R,Budget!$A:$A,$A100)</f>
        <v/>
      </c>
      <c r="E100" s="9">
        <f>SUMIFS(Budget!$S:$S,Budget!$A:$A,$A100)</f>
        <v/>
      </c>
      <c r="F100" s="9">
        <f>SUMIFS(Budget!$T:$T,Budget!$A:$A,$A100)</f>
        <v/>
      </c>
      <c r="G100" s="9">
        <f>SUMIFS(Budget!$U:$U,Budget!$A:$A,$A100)</f>
        <v/>
      </c>
      <c r="H100" s="9">
        <f>SUMIFS(Budget!$V:$V,Budget!$A:$A,$A100)</f>
        <v/>
      </c>
      <c r="I100" s="9">
        <f>SUMIFS(Budget!$W:$W,Budget!$A:$A,$A100)</f>
        <v/>
      </c>
      <c r="J100" s="9">
        <f>SUMIFS(Budget!$X:$X,Budget!$A:$A,$A100)</f>
        <v/>
      </c>
      <c r="K100" s="9">
        <f>SUMIFS(Budget!$Y:$Y,Budget!$A:$A,$A100)</f>
        <v/>
      </c>
      <c r="L100" s="9">
        <f>SUMIFS(Budget!$Z:$Z,Budget!$A:$A,$A100)</f>
        <v/>
      </c>
      <c r="M100" s="9">
        <f>SUMIFS(Budget!$AA:$AA,Budget!$A:$A,$A100)</f>
        <v/>
      </c>
      <c r="N100" s="10">
        <f>SUM(B100:M100)</f>
        <v/>
      </c>
    </row>
    <row r="101">
      <c r="A101" s="5" t="inlineStr">
        <is>
          <t>Sub-Contract Labour - VID</t>
        </is>
      </c>
      <c r="B101" s="9">
        <f>SUMIFS(Budget!$P:$P,Budget!$A:$A,$A101)</f>
        <v/>
      </c>
      <c r="C101" s="9">
        <f>SUMIFS(Budget!$Q:$Q,Budget!$A:$A,$A101)</f>
        <v/>
      </c>
      <c r="D101" s="9">
        <f>SUMIFS(Budget!$R:$R,Budget!$A:$A,$A101)</f>
        <v/>
      </c>
      <c r="E101" s="9">
        <f>SUMIFS(Budget!$S:$S,Budget!$A:$A,$A101)</f>
        <v/>
      </c>
      <c r="F101" s="9">
        <f>SUMIFS(Budget!$T:$T,Budget!$A:$A,$A101)</f>
        <v/>
      </c>
      <c r="G101" s="9">
        <f>SUMIFS(Budget!$U:$U,Budget!$A:$A,$A101)</f>
        <v/>
      </c>
      <c r="H101" s="9">
        <f>SUMIFS(Budget!$V:$V,Budget!$A:$A,$A101)</f>
        <v/>
      </c>
      <c r="I101" s="9">
        <f>SUMIFS(Budget!$W:$W,Budget!$A:$A,$A101)</f>
        <v/>
      </c>
      <c r="J101" s="9">
        <f>SUMIFS(Budget!$X:$X,Budget!$A:$A,$A101)</f>
        <v/>
      </c>
      <c r="K101" s="9">
        <f>SUMIFS(Budget!$Y:$Y,Budget!$A:$A,$A101)</f>
        <v/>
      </c>
      <c r="L101" s="9">
        <f>SUMIFS(Budget!$Z:$Z,Budget!$A:$A,$A101)</f>
        <v/>
      </c>
      <c r="M101" s="9">
        <f>SUMIFS(Budget!$AA:$AA,Budget!$A:$A,$A101)</f>
        <v/>
      </c>
      <c r="N101" s="10">
        <f>SUM(B101:M101)</f>
        <v/>
      </c>
    </row>
    <row r="102">
      <c r="A102" s="5" t="inlineStr">
        <is>
          <t>Subscriptions &amp; Licences - Expense</t>
        </is>
      </c>
      <c r="B102" s="9">
        <f>SUMIFS(Budget!$P:$P,Budget!$A:$A,$A102)</f>
        <v/>
      </c>
      <c r="C102" s="9">
        <f>SUMIFS(Budget!$Q:$Q,Budget!$A:$A,$A102)</f>
        <v/>
      </c>
      <c r="D102" s="9">
        <f>SUMIFS(Budget!$R:$R,Budget!$A:$A,$A102)</f>
        <v/>
      </c>
      <c r="E102" s="9">
        <f>SUMIFS(Budget!$S:$S,Budget!$A:$A,$A102)</f>
        <v/>
      </c>
      <c r="F102" s="9">
        <f>SUMIFS(Budget!$T:$T,Budget!$A:$A,$A102)</f>
        <v/>
      </c>
      <c r="G102" s="9">
        <f>SUMIFS(Budget!$U:$U,Budget!$A:$A,$A102)</f>
        <v/>
      </c>
      <c r="H102" s="9">
        <f>SUMIFS(Budget!$V:$V,Budget!$A:$A,$A102)</f>
        <v/>
      </c>
      <c r="I102" s="9">
        <f>SUMIFS(Budget!$W:$W,Budget!$A:$A,$A102)</f>
        <v/>
      </c>
      <c r="J102" s="9">
        <f>SUMIFS(Budget!$X:$X,Budget!$A:$A,$A102)</f>
        <v/>
      </c>
      <c r="K102" s="9">
        <f>SUMIFS(Budget!$Y:$Y,Budget!$A:$A,$A102)</f>
        <v/>
      </c>
      <c r="L102" s="9">
        <f>SUMIFS(Budget!$Z:$Z,Budget!$A:$A,$A102)</f>
        <v/>
      </c>
      <c r="M102" s="9">
        <f>SUMIFS(Budget!$AA:$AA,Budget!$A:$A,$A102)</f>
        <v/>
      </c>
      <c r="N102" s="10">
        <f>SUM(B102:M102)</f>
        <v/>
      </c>
    </row>
    <row r="103">
      <c r="A103" s="5" t="inlineStr">
        <is>
          <t>Supplier Per Diems - ADMIN</t>
        </is>
      </c>
      <c r="B103" s="9">
        <f>SUMIFS(Budget!$P:$P,Budget!$A:$A,$A103)</f>
        <v/>
      </c>
      <c r="C103" s="9">
        <f>SUMIFS(Budget!$Q:$Q,Budget!$A:$A,$A103)</f>
        <v/>
      </c>
      <c r="D103" s="9">
        <f>SUMIFS(Budget!$R:$R,Budget!$A:$A,$A103)</f>
        <v/>
      </c>
      <c r="E103" s="9">
        <f>SUMIFS(Budget!$S:$S,Budget!$A:$A,$A103)</f>
        <v/>
      </c>
      <c r="F103" s="9">
        <f>SUMIFS(Budget!$T:$T,Budget!$A:$A,$A103)</f>
        <v/>
      </c>
      <c r="G103" s="9">
        <f>SUMIFS(Budget!$U:$U,Budget!$A:$A,$A103)</f>
        <v/>
      </c>
      <c r="H103" s="9">
        <f>SUMIFS(Budget!$V:$V,Budget!$A:$A,$A103)</f>
        <v/>
      </c>
      <c r="I103" s="9">
        <f>SUMIFS(Budget!$W:$W,Budget!$A:$A,$A103)</f>
        <v/>
      </c>
      <c r="J103" s="9">
        <f>SUMIFS(Budget!$X:$X,Budget!$A:$A,$A103)</f>
        <v/>
      </c>
      <c r="K103" s="9">
        <f>SUMIFS(Budget!$Y:$Y,Budget!$A:$A,$A103)</f>
        <v/>
      </c>
      <c r="L103" s="9">
        <f>SUMIFS(Budget!$Z:$Z,Budget!$A:$A,$A103)</f>
        <v/>
      </c>
      <c r="M103" s="9">
        <f>SUMIFS(Budget!$AA:$AA,Budget!$A:$A,$A103)</f>
        <v/>
      </c>
      <c r="N103" s="10">
        <f>SUM(B103:M103)</f>
        <v/>
      </c>
    </row>
    <row r="104">
      <c r="A104" s="5" t="inlineStr">
        <is>
          <t>Supplier Per Diems - CONS</t>
        </is>
      </c>
      <c r="B104" s="9">
        <f>SUMIFS(Budget!$P:$P,Budget!$A:$A,$A104)</f>
        <v/>
      </c>
      <c r="C104" s="9">
        <f>SUMIFS(Budget!$Q:$Q,Budget!$A:$A,$A104)</f>
        <v/>
      </c>
      <c r="D104" s="9">
        <f>SUMIFS(Budget!$R:$R,Budget!$A:$A,$A104)</f>
        <v/>
      </c>
      <c r="E104" s="9">
        <f>SUMIFS(Budget!$S:$S,Budget!$A:$A,$A104)</f>
        <v/>
      </c>
      <c r="F104" s="9">
        <f>SUMIFS(Budget!$T:$T,Budget!$A:$A,$A104)</f>
        <v/>
      </c>
      <c r="G104" s="9">
        <f>SUMIFS(Budget!$U:$U,Budget!$A:$A,$A104)</f>
        <v/>
      </c>
      <c r="H104" s="9">
        <f>SUMIFS(Budget!$V:$V,Budget!$A:$A,$A104)</f>
        <v/>
      </c>
      <c r="I104" s="9">
        <f>SUMIFS(Budget!$W:$W,Budget!$A:$A,$A104)</f>
        <v/>
      </c>
      <c r="J104" s="9">
        <f>SUMIFS(Budget!$X:$X,Budget!$A:$A,$A104)</f>
        <v/>
      </c>
      <c r="K104" s="9">
        <f>SUMIFS(Budget!$Y:$Y,Budget!$A:$A,$A104)</f>
        <v/>
      </c>
      <c r="L104" s="9">
        <f>SUMIFS(Budget!$Z:$Z,Budget!$A:$A,$A104)</f>
        <v/>
      </c>
      <c r="M104" s="9">
        <f>SUMIFS(Budget!$AA:$AA,Budget!$A:$A,$A104)</f>
        <v/>
      </c>
      <c r="N104" s="10">
        <f>SUM(B104:M104)</f>
        <v/>
      </c>
    </row>
    <row r="105">
      <c r="A105" s="5" t="inlineStr">
        <is>
          <t>Supplier Per Diems - INTEGRATION</t>
        </is>
      </c>
      <c r="B105" s="9">
        <f>SUMIFS(Budget!$P:$P,Budget!$A:$A,$A105)</f>
        <v/>
      </c>
      <c r="C105" s="9">
        <f>SUMIFS(Budget!$Q:$Q,Budget!$A:$A,$A105)</f>
        <v/>
      </c>
      <c r="D105" s="9">
        <f>SUMIFS(Budget!$R:$R,Budget!$A:$A,$A105)</f>
        <v/>
      </c>
      <c r="E105" s="9">
        <f>SUMIFS(Budget!$S:$S,Budget!$A:$A,$A105)</f>
        <v/>
      </c>
      <c r="F105" s="9">
        <f>SUMIFS(Budget!$T:$T,Budget!$A:$A,$A105)</f>
        <v/>
      </c>
      <c r="G105" s="9">
        <f>SUMIFS(Budget!$U:$U,Budget!$A:$A,$A105)</f>
        <v/>
      </c>
      <c r="H105" s="9">
        <f>SUMIFS(Budget!$V:$V,Budget!$A:$A,$A105)</f>
        <v/>
      </c>
      <c r="I105" s="9">
        <f>SUMIFS(Budget!$W:$W,Budget!$A:$A,$A105)</f>
        <v/>
      </c>
      <c r="J105" s="9">
        <f>SUMIFS(Budget!$X:$X,Budget!$A:$A,$A105)</f>
        <v/>
      </c>
      <c r="K105" s="9">
        <f>SUMIFS(Budget!$Y:$Y,Budget!$A:$A,$A105)</f>
        <v/>
      </c>
      <c r="L105" s="9">
        <f>SUMIFS(Budget!$Z:$Z,Budget!$A:$A,$A105)</f>
        <v/>
      </c>
      <c r="M105" s="9">
        <f>SUMIFS(Budget!$AA:$AA,Budget!$A:$A,$A105)</f>
        <v/>
      </c>
      <c r="N105" s="10">
        <f>SUM(B105:M105)</f>
        <v/>
      </c>
    </row>
    <row r="106">
      <c r="A106" s="5" t="inlineStr">
        <is>
          <t>Supplier Per Diems - ONS</t>
        </is>
      </c>
      <c r="B106" s="9">
        <f>SUMIFS(Budget!$P:$P,Budget!$A:$A,$A106)</f>
        <v/>
      </c>
      <c r="C106" s="9">
        <f>SUMIFS(Budget!$Q:$Q,Budget!$A:$A,$A106)</f>
        <v/>
      </c>
      <c r="D106" s="9">
        <f>SUMIFS(Budget!$R:$R,Budget!$A:$A,$A106)</f>
        <v/>
      </c>
      <c r="E106" s="9">
        <f>SUMIFS(Budget!$S:$S,Budget!$A:$A,$A106)</f>
        <v/>
      </c>
      <c r="F106" s="9">
        <f>SUMIFS(Budget!$T:$T,Budget!$A:$A,$A106)</f>
        <v/>
      </c>
      <c r="G106" s="9">
        <f>SUMIFS(Budget!$U:$U,Budget!$A:$A,$A106)</f>
        <v/>
      </c>
      <c r="H106" s="9">
        <f>SUMIFS(Budget!$V:$V,Budget!$A:$A,$A106)</f>
        <v/>
      </c>
      <c r="I106" s="9">
        <f>SUMIFS(Budget!$W:$W,Budget!$A:$A,$A106)</f>
        <v/>
      </c>
      <c r="J106" s="9">
        <f>SUMIFS(Budget!$X:$X,Budget!$A:$A,$A106)</f>
        <v/>
      </c>
      <c r="K106" s="9">
        <f>SUMIFS(Budget!$Y:$Y,Budget!$A:$A,$A106)</f>
        <v/>
      </c>
      <c r="L106" s="9">
        <f>SUMIFS(Budget!$Z:$Z,Budget!$A:$A,$A106)</f>
        <v/>
      </c>
      <c r="M106" s="9">
        <f>SUMIFS(Budget!$AA:$AA,Budget!$A:$A,$A106)</f>
        <v/>
      </c>
      <c r="N106" s="10">
        <f>SUM(B106:M106)</f>
        <v/>
      </c>
    </row>
    <row r="107">
      <c r="A107" s="5" t="inlineStr">
        <is>
          <t>Supplier Per Diems - PRD</t>
        </is>
      </c>
      <c r="B107" s="9">
        <f>SUMIFS(Budget!$P:$P,Budget!$A:$A,$A107)</f>
        <v/>
      </c>
      <c r="C107" s="9">
        <f>SUMIFS(Budget!$Q:$Q,Budget!$A:$A,$A107)</f>
        <v/>
      </c>
      <c r="D107" s="9">
        <f>SUMIFS(Budget!$R:$R,Budget!$A:$A,$A107)</f>
        <v/>
      </c>
      <c r="E107" s="9">
        <f>SUMIFS(Budget!$S:$S,Budget!$A:$A,$A107)</f>
        <v/>
      </c>
      <c r="F107" s="9">
        <f>SUMIFS(Budget!$T:$T,Budget!$A:$A,$A107)</f>
        <v/>
      </c>
      <c r="G107" s="9">
        <f>SUMIFS(Budget!$U:$U,Budget!$A:$A,$A107)</f>
        <v/>
      </c>
      <c r="H107" s="9">
        <f>SUMIFS(Budget!$V:$V,Budget!$A:$A,$A107)</f>
        <v/>
      </c>
      <c r="I107" s="9">
        <f>SUMIFS(Budget!$W:$W,Budget!$A:$A,$A107)</f>
        <v/>
      </c>
      <c r="J107" s="9">
        <f>SUMIFS(Budget!$X:$X,Budget!$A:$A,$A107)</f>
        <v/>
      </c>
      <c r="K107" s="9">
        <f>SUMIFS(Budget!$Y:$Y,Budget!$A:$A,$A107)</f>
        <v/>
      </c>
      <c r="L107" s="9">
        <f>SUMIFS(Budget!$Z:$Z,Budget!$A:$A,$A107)</f>
        <v/>
      </c>
      <c r="M107" s="9">
        <f>SUMIFS(Budget!$AA:$AA,Budget!$A:$A,$A107)</f>
        <v/>
      </c>
      <c r="N107" s="10">
        <f>SUM(B107:M107)</f>
        <v/>
      </c>
    </row>
    <row r="108">
      <c r="A108" s="5" t="inlineStr">
        <is>
          <t>Supplier Per Diems - VID</t>
        </is>
      </c>
      <c r="B108" s="9">
        <f>SUMIFS(Budget!$P:$P,Budget!$A:$A,$A108)</f>
        <v/>
      </c>
      <c r="C108" s="9">
        <f>SUMIFS(Budget!$Q:$Q,Budget!$A:$A,$A108)</f>
        <v/>
      </c>
      <c r="D108" s="9">
        <f>SUMIFS(Budget!$R:$R,Budget!$A:$A,$A108)</f>
        <v/>
      </c>
      <c r="E108" s="9">
        <f>SUMIFS(Budget!$S:$S,Budget!$A:$A,$A108)</f>
        <v/>
      </c>
      <c r="F108" s="9">
        <f>SUMIFS(Budget!$T:$T,Budget!$A:$A,$A108)</f>
        <v/>
      </c>
      <c r="G108" s="9">
        <f>SUMIFS(Budget!$U:$U,Budget!$A:$A,$A108)</f>
        <v/>
      </c>
      <c r="H108" s="9">
        <f>SUMIFS(Budget!$V:$V,Budget!$A:$A,$A108)</f>
        <v/>
      </c>
      <c r="I108" s="9">
        <f>SUMIFS(Budget!$W:$W,Budget!$A:$A,$A108)</f>
        <v/>
      </c>
      <c r="J108" s="9">
        <f>SUMIFS(Budget!$X:$X,Budget!$A:$A,$A108)</f>
        <v/>
      </c>
      <c r="K108" s="9">
        <f>SUMIFS(Budget!$Y:$Y,Budget!$A:$A,$A108)</f>
        <v/>
      </c>
      <c r="L108" s="9">
        <f>SUMIFS(Budget!$Z:$Z,Budget!$A:$A,$A108)</f>
        <v/>
      </c>
      <c r="M108" s="9">
        <f>SUMIFS(Budget!$AA:$AA,Budget!$A:$A,$A108)</f>
        <v/>
      </c>
      <c r="N108" s="10">
        <f>SUM(B108:M108)</f>
        <v/>
      </c>
    </row>
    <row r="109">
      <c r="A109" s="11" t="inlineStr">
        <is>
          <t>Total Cost of Sales</t>
        </is>
      </c>
      <c r="B109" s="12">
        <f>SUM(B43:B108)</f>
        <v/>
      </c>
      <c r="C109" s="12">
        <f>SUM(C43:C108)</f>
        <v/>
      </c>
      <c r="D109" s="12">
        <f>SUM(D43:D108)</f>
        <v/>
      </c>
      <c r="E109" s="12">
        <f>SUM(E43:E108)</f>
        <v/>
      </c>
      <c r="F109" s="12">
        <f>SUM(F43:F108)</f>
        <v/>
      </c>
      <c r="G109" s="12">
        <f>SUM(G43:G108)</f>
        <v/>
      </c>
      <c r="H109" s="12">
        <f>SUM(H43:H108)</f>
        <v/>
      </c>
      <c r="I109" s="12">
        <f>SUM(I43:I108)</f>
        <v/>
      </c>
      <c r="J109" s="12">
        <f>SUM(J43:J108)</f>
        <v/>
      </c>
      <c r="K109" s="12">
        <f>SUM(K43:K108)</f>
        <v/>
      </c>
      <c r="L109" s="12">
        <f>SUM(L43:L108)</f>
        <v/>
      </c>
      <c r="M109" s="12">
        <f>SUM(M43:M108)</f>
        <v/>
      </c>
      <c r="N109" s="12">
        <f>SUM(B109:M109)</f>
        <v/>
      </c>
    </row>
    <row r="111">
      <c r="A111" s="11" t="inlineStr">
        <is>
          <t>GROSS PROFIT</t>
        </is>
      </c>
      <c r="B111" s="12">
        <f>B40-B109</f>
        <v/>
      </c>
      <c r="C111" s="12">
        <f>C40-C109</f>
        <v/>
      </c>
      <c r="D111" s="12">
        <f>D40-D109</f>
        <v/>
      </c>
      <c r="E111" s="12">
        <f>E40-E109</f>
        <v/>
      </c>
      <c r="F111" s="12">
        <f>F40-F109</f>
        <v/>
      </c>
      <c r="G111" s="12">
        <f>G40-G109</f>
        <v/>
      </c>
      <c r="H111" s="12">
        <f>H40-H109</f>
        <v/>
      </c>
      <c r="I111" s="12">
        <f>I40-I109</f>
        <v/>
      </c>
      <c r="J111" s="12">
        <f>J40-J109</f>
        <v/>
      </c>
      <c r="K111" s="12">
        <f>K40-K109</f>
        <v/>
      </c>
      <c r="L111" s="12">
        <f>L40-L109</f>
        <v/>
      </c>
      <c r="M111" s="12">
        <f>M40-M109</f>
        <v/>
      </c>
      <c r="N111" s="12">
        <f>SUM(B111:M111)</f>
        <v/>
      </c>
    </row>
    <row r="112">
      <c r="A112" s="11" t="inlineStr">
        <is>
          <t>Gross Profit %</t>
        </is>
      </c>
      <c r="B112" s="13">
        <f>IFERROR(B111/B40,0)</f>
        <v/>
      </c>
      <c r="C112" s="13">
        <f>IFERROR(C111/C40,0)</f>
        <v/>
      </c>
      <c r="D112" s="13">
        <f>IFERROR(D111/D40,0)</f>
        <v/>
      </c>
      <c r="E112" s="13">
        <f>IFERROR(E111/E40,0)</f>
        <v/>
      </c>
      <c r="F112" s="13">
        <f>IFERROR(F111/F40,0)</f>
        <v/>
      </c>
      <c r="G112" s="13">
        <f>IFERROR(G111/G40,0)</f>
        <v/>
      </c>
      <c r="H112" s="13">
        <f>IFERROR(H111/H40,0)</f>
        <v/>
      </c>
      <c r="I112" s="13">
        <f>IFERROR(I111/I40,0)</f>
        <v/>
      </c>
      <c r="J112" s="13">
        <f>IFERROR(J111/J40,0)</f>
        <v/>
      </c>
      <c r="K112" s="13">
        <f>IFERROR(K111/K40,0)</f>
        <v/>
      </c>
      <c r="L112" s="13">
        <f>IFERROR(L111/L40,0)</f>
        <v/>
      </c>
      <c r="M112" s="13">
        <f>IFERROR(M111/M40,0)</f>
        <v/>
      </c>
      <c r="N112" s="13">
        <f>SUM(B112:M112)</f>
        <v/>
      </c>
    </row>
    <row r="114">
      <c r="A114" s="7" t="inlineStr">
        <is>
          <t>OTHER INCOME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5" t="inlineStr">
        <is>
          <t>Cash Flow Boost</t>
        </is>
      </c>
      <c r="B115" s="9">
        <f>SUMIFS(Budget!$P:$P,Budget!$A:$A,$A115)</f>
        <v/>
      </c>
      <c r="C115" s="9">
        <f>SUMIFS(Budget!$Q:$Q,Budget!$A:$A,$A115)</f>
        <v/>
      </c>
      <c r="D115" s="9">
        <f>SUMIFS(Budget!$R:$R,Budget!$A:$A,$A115)</f>
        <v/>
      </c>
      <c r="E115" s="9">
        <f>SUMIFS(Budget!$S:$S,Budget!$A:$A,$A115)</f>
        <v/>
      </c>
      <c r="F115" s="9">
        <f>SUMIFS(Budget!$T:$T,Budget!$A:$A,$A115)</f>
        <v/>
      </c>
      <c r="G115" s="9">
        <f>SUMIFS(Budget!$U:$U,Budget!$A:$A,$A115)</f>
        <v/>
      </c>
      <c r="H115" s="9">
        <f>SUMIFS(Budget!$V:$V,Budget!$A:$A,$A115)</f>
        <v/>
      </c>
      <c r="I115" s="9">
        <f>SUMIFS(Budget!$W:$W,Budget!$A:$A,$A115)</f>
        <v/>
      </c>
      <c r="J115" s="9">
        <f>SUMIFS(Budget!$X:$X,Budget!$A:$A,$A115)</f>
        <v/>
      </c>
      <c r="K115" s="9">
        <f>SUMIFS(Budget!$Y:$Y,Budget!$A:$A,$A115)</f>
        <v/>
      </c>
      <c r="L115" s="9">
        <f>SUMIFS(Budget!$Z:$Z,Budget!$A:$A,$A115)</f>
        <v/>
      </c>
      <c r="M115" s="9">
        <f>SUMIFS(Budget!$AA:$AA,Budget!$A:$A,$A115)</f>
        <v/>
      </c>
      <c r="N115" s="10">
        <f>SUM(B115:M115)</f>
        <v/>
      </c>
    </row>
    <row r="116">
      <c r="A116" s="5" t="inlineStr">
        <is>
          <t>Employee FBT Contribtution</t>
        </is>
      </c>
      <c r="B116" s="9">
        <f>SUMIFS(Budget!$P:$P,Budget!$A:$A,$A116)</f>
        <v/>
      </c>
      <c r="C116" s="9">
        <f>SUMIFS(Budget!$Q:$Q,Budget!$A:$A,$A116)</f>
        <v/>
      </c>
      <c r="D116" s="9">
        <f>SUMIFS(Budget!$R:$R,Budget!$A:$A,$A116)</f>
        <v/>
      </c>
      <c r="E116" s="9">
        <f>SUMIFS(Budget!$S:$S,Budget!$A:$A,$A116)</f>
        <v/>
      </c>
      <c r="F116" s="9">
        <f>SUMIFS(Budget!$T:$T,Budget!$A:$A,$A116)</f>
        <v/>
      </c>
      <c r="G116" s="9">
        <f>SUMIFS(Budget!$U:$U,Budget!$A:$A,$A116)</f>
        <v/>
      </c>
      <c r="H116" s="9">
        <f>SUMIFS(Budget!$V:$V,Budget!$A:$A,$A116)</f>
        <v/>
      </c>
      <c r="I116" s="9">
        <f>SUMIFS(Budget!$W:$W,Budget!$A:$A,$A116)</f>
        <v/>
      </c>
      <c r="J116" s="9">
        <f>SUMIFS(Budget!$X:$X,Budget!$A:$A,$A116)</f>
        <v/>
      </c>
      <c r="K116" s="9">
        <f>SUMIFS(Budget!$Y:$Y,Budget!$A:$A,$A116)</f>
        <v/>
      </c>
      <c r="L116" s="9">
        <f>SUMIFS(Budget!$Z:$Z,Budget!$A:$A,$A116)</f>
        <v/>
      </c>
      <c r="M116" s="9">
        <f>SUMIFS(Budget!$AA:$AA,Budget!$A:$A,$A116)</f>
        <v/>
      </c>
      <c r="N116" s="10">
        <f>SUM(B116:M116)</f>
        <v/>
      </c>
    </row>
    <row r="117">
      <c r="A117" s="5" t="inlineStr">
        <is>
          <t>Gain on lease termination</t>
        </is>
      </c>
      <c r="B117" s="9">
        <f>SUMIFS(Budget!$P:$P,Budget!$A:$A,$A117)</f>
        <v/>
      </c>
      <c r="C117" s="9">
        <f>SUMIFS(Budget!$Q:$Q,Budget!$A:$A,$A117)</f>
        <v/>
      </c>
      <c r="D117" s="9">
        <f>SUMIFS(Budget!$R:$R,Budget!$A:$A,$A117)</f>
        <v/>
      </c>
      <c r="E117" s="9">
        <f>SUMIFS(Budget!$S:$S,Budget!$A:$A,$A117)</f>
        <v/>
      </c>
      <c r="F117" s="9">
        <f>SUMIFS(Budget!$T:$T,Budget!$A:$A,$A117)</f>
        <v/>
      </c>
      <c r="G117" s="9">
        <f>SUMIFS(Budget!$U:$U,Budget!$A:$A,$A117)</f>
        <v/>
      </c>
      <c r="H117" s="9">
        <f>SUMIFS(Budget!$V:$V,Budget!$A:$A,$A117)</f>
        <v/>
      </c>
      <c r="I117" s="9">
        <f>SUMIFS(Budget!$W:$W,Budget!$A:$A,$A117)</f>
        <v/>
      </c>
      <c r="J117" s="9">
        <f>SUMIFS(Budget!$X:$X,Budget!$A:$A,$A117)</f>
        <v/>
      </c>
      <c r="K117" s="9">
        <f>SUMIFS(Budget!$Y:$Y,Budget!$A:$A,$A117)</f>
        <v/>
      </c>
      <c r="L117" s="9">
        <f>SUMIFS(Budget!$Z:$Z,Budget!$A:$A,$A117)</f>
        <v/>
      </c>
      <c r="M117" s="9">
        <f>SUMIFS(Budget!$AA:$AA,Budget!$A:$A,$A117)</f>
        <v/>
      </c>
      <c r="N117" s="10">
        <f>SUM(B117:M117)</f>
        <v/>
      </c>
    </row>
    <row r="118">
      <c r="A118" s="5" t="inlineStr">
        <is>
          <t>Income Other</t>
        </is>
      </c>
      <c r="B118" s="9">
        <f>SUMIFS(Budget!$P:$P,Budget!$A:$A,$A118)</f>
        <v/>
      </c>
      <c r="C118" s="9">
        <f>SUMIFS(Budget!$Q:$Q,Budget!$A:$A,$A118)</f>
        <v/>
      </c>
      <c r="D118" s="9">
        <f>SUMIFS(Budget!$R:$R,Budget!$A:$A,$A118)</f>
        <v/>
      </c>
      <c r="E118" s="9">
        <f>SUMIFS(Budget!$S:$S,Budget!$A:$A,$A118)</f>
        <v/>
      </c>
      <c r="F118" s="9">
        <f>SUMIFS(Budget!$T:$T,Budget!$A:$A,$A118)</f>
        <v/>
      </c>
      <c r="G118" s="9">
        <f>SUMIFS(Budget!$U:$U,Budget!$A:$A,$A118)</f>
        <v/>
      </c>
      <c r="H118" s="9">
        <f>SUMIFS(Budget!$V:$V,Budget!$A:$A,$A118)</f>
        <v/>
      </c>
      <c r="I118" s="9">
        <f>SUMIFS(Budget!$W:$W,Budget!$A:$A,$A118)</f>
        <v/>
      </c>
      <c r="J118" s="9">
        <f>SUMIFS(Budget!$X:$X,Budget!$A:$A,$A118)</f>
        <v/>
      </c>
      <c r="K118" s="9">
        <f>SUMIFS(Budget!$Y:$Y,Budget!$A:$A,$A118)</f>
        <v/>
      </c>
      <c r="L118" s="9">
        <f>SUMIFS(Budget!$Z:$Z,Budget!$A:$A,$A118)</f>
        <v/>
      </c>
      <c r="M118" s="9">
        <f>SUMIFS(Budget!$AA:$AA,Budget!$A:$A,$A118)</f>
        <v/>
      </c>
      <c r="N118" s="10">
        <f>SUM(B118:M118)</f>
        <v/>
      </c>
    </row>
    <row r="119">
      <c r="A119" s="5" t="inlineStr">
        <is>
          <t>Interest Income</t>
        </is>
      </c>
      <c r="B119" s="9">
        <f>SUMIFS(Budget!$P:$P,Budget!$A:$A,$A119)</f>
        <v/>
      </c>
      <c r="C119" s="9">
        <f>SUMIFS(Budget!$Q:$Q,Budget!$A:$A,$A119)</f>
        <v/>
      </c>
      <c r="D119" s="9">
        <f>SUMIFS(Budget!$R:$R,Budget!$A:$A,$A119)</f>
        <v/>
      </c>
      <c r="E119" s="9">
        <f>SUMIFS(Budget!$S:$S,Budget!$A:$A,$A119)</f>
        <v/>
      </c>
      <c r="F119" s="9">
        <f>SUMIFS(Budget!$T:$T,Budget!$A:$A,$A119)</f>
        <v/>
      </c>
      <c r="G119" s="9">
        <f>SUMIFS(Budget!$U:$U,Budget!$A:$A,$A119)</f>
        <v/>
      </c>
      <c r="H119" s="9">
        <f>SUMIFS(Budget!$V:$V,Budget!$A:$A,$A119)</f>
        <v/>
      </c>
      <c r="I119" s="9">
        <f>SUMIFS(Budget!$W:$W,Budget!$A:$A,$A119)</f>
        <v/>
      </c>
      <c r="J119" s="9">
        <f>SUMIFS(Budget!$X:$X,Budget!$A:$A,$A119)</f>
        <v/>
      </c>
      <c r="K119" s="9">
        <f>SUMIFS(Budget!$Y:$Y,Budget!$A:$A,$A119)</f>
        <v/>
      </c>
      <c r="L119" s="9">
        <f>SUMIFS(Budget!$Z:$Z,Budget!$A:$A,$A119)</f>
        <v/>
      </c>
      <c r="M119" s="9">
        <f>SUMIFS(Budget!$AA:$AA,Budget!$A:$A,$A119)</f>
        <v/>
      </c>
      <c r="N119" s="10">
        <f>SUM(B119:M119)</f>
        <v/>
      </c>
    </row>
    <row r="120">
      <c r="A120" s="5" t="inlineStr">
        <is>
          <t>Interest Received</t>
        </is>
      </c>
      <c r="B120" s="9">
        <f>SUMIFS(Budget!$P:$P,Budget!$A:$A,$A120)</f>
        <v/>
      </c>
      <c r="C120" s="9">
        <f>SUMIFS(Budget!$Q:$Q,Budget!$A:$A,$A120)</f>
        <v/>
      </c>
      <c r="D120" s="9">
        <f>SUMIFS(Budget!$R:$R,Budget!$A:$A,$A120)</f>
        <v/>
      </c>
      <c r="E120" s="9">
        <f>SUMIFS(Budget!$S:$S,Budget!$A:$A,$A120)</f>
        <v/>
      </c>
      <c r="F120" s="9">
        <f>SUMIFS(Budget!$T:$T,Budget!$A:$A,$A120)</f>
        <v/>
      </c>
      <c r="G120" s="9">
        <f>SUMIFS(Budget!$U:$U,Budget!$A:$A,$A120)</f>
        <v/>
      </c>
      <c r="H120" s="9">
        <f>SUMIFS(Budget!$V:$V,Budget!$A:$A,$A120)</f>
        <v/>
      </c>
      <c r="I120" s="9">
        <f>SUMIFS(Budget!$W:$W,Budget!$A:$A,$A120)</f>
        <v/>
      </c>
      <c r="J120" s="9">
        <f>SUMIFS(Budget!$X:$X,Budget!$A:$A,$A120)</f>
        <v/>
      </c>
      <c r="K120" s="9">
        <f>SUMIFS(Budget!$Y:$Y,Budget!$A:$A,$A120)</f>
        <v/>
      </c>
      <c r="L120" s="9">
        <f>SUMIFS(Budget!$Z:$Z,Budget!$A:$A,$A120)</f>
        <v/>
      </c>
      <c r="M120" s="9">
        <f>SUMIFS(Budget!$AA:$AA,Budget!$A:$A,$A120)</f>
        <v/>
      </c>
      <c r="N120" s="10">
        <f>SUM(B120:M120)</f>
        <v/>
      </c>
    </row>
    <row r="121">
      <c r="A121" s="5" t="inlineStr">
        <is>
          <t>JobKeeper Subsidy</t>
        </is>
      </c>
      <c r="B121" s="9">
        <f>SUMIFS(Budget!$P:$P,Budget!$A:$A,$A121)</f>
        <v/>
      </c>
      <c r="C121" s="9">
        <f>SUMIFS(Budget!$Q:$Q,Budget!$A:$A,$A121)</f>
        <v/>
      </c>
      <c r="D121" s="9">
        <f>SUMIFS(Budget!$R:$R,Budget!$A:$A,$A121)</f>
        <v/>
      </c>
      <c r="E121" s="9">
        <f>SUMIFS(Budget!$S:$S,Budget!$A:$A,$A121)</f>
        <v/>
      </c>
      <c r="F121" s="9">
        <f>SUMIFS(Budget!$T:$T,Budget!$A:$A,$A121)</f>
        <v/>
      </c>
      <c r="G121" s="9">
        <f>SUMIFS(Budget!$U:$U,Budget!$A:$A,$A121)</f>
        <v/>
      </c>
      <c r="H121" s="9">
        <f>SUMIFS(Budget!$V:$V,Budget!$A:$A,$A121)</f>
        <v/>
      </c>
      <c r="I121" s="9">
        <f>SUMIFS(Budget!$W:$W,Budget!$A:$A,$A121)</f>
        <v/>
      </c>
      <c r="J121" s="9">
        <f>SUMIFS(Budget!$X:$X,Budget!$A:$A,$A121)</f>
        <v/>
      </c>
      <c r="K121" s="9">
        <f>SUMIFS(Budget!$Y:$Y,Budget!$A:$A,$A121)</f>
        <v/>
      </c>
      <c r="L121" s="9">
        <f>SUMIFS(Budget!$Z:$Z,Budget!$A:$A,$A121)</f>
        <v/>
      </c>
      <c r="M121" s="9">
        <f>SUMIFS(Budget!$AA:$AA,Budget!$A:$A,$A121)</f>
        <v/>
      </c>
      <c r="N121" s="10">
        <f>SUM(B121:M121)</f>
        <v/>
      </c>
    </row>
    <row r="122">
      <c r="A122" s="5" t="inlineStr">
        <is>
          <t>JobSaver Subsidy</t>
        </is>
      </c>
      <c r="B122" s="9">
        <f>SUMIFS(Budget!$P:$P,Budget!$A:$A,$A122)</f>
        <v/>
      </c>
      <c r="C122" s="9">
        <f>SUMIFS(Budget!$Q:$Q,Budget!$A:$A,$A122)</f>
        <v/>
      </c>
      <c r="D122" s="9">
        <f>SUMIFS(Budget!$R:$R,Budget!$A:$A,$A122)</f>
        <v/>
      </c>
      <c r="E122" s="9">
        <f>SUMIFS(Budget!$S:$S,Budget!$A:$A,$A122)</f>
        <v/>
      </c>
      <c r="F122" s="9">
        <f>SUMIFS(Budget!$T:$T,Budget!$A:$A,$A122)</f>
        <v/>
      </c>
      <c r="G122" s="9">
        <f>SUMIFS(Budget!$U:$U,Budget!$A:$A,$A122)</f>
        <v/>
      </c>
      <c r="H122" s="9">
        <f>SUMIFS(Budget!$V:$V,Budget!$A:$A,$A122)</f>
        <v/>
      </c>
      <c r="I122" s="9">
        <f>SUMIFS(Budget!$W:$W,Budget!$A:$A,$A122)</f>
        <v/>
      </c>
      <c r="J122" s="9">
        <f>SUMIFS(Budget!$X:$X,Budget!$A:$A,$A122)</f>
        <v/>
      </c>
      <c r="K122" s="9">
        <f>SUMIFS(Budget!$Y:$Y,Budget!$A:$A,$A122)</f>
        <v/>
      </c>
      <c r="L122" s="9">
        <f>SUMIFS(Budget!$Z:$Z,Budget!$A:$A,$A122)</f>
        <v/>
      </c>
      <c r="M122" s="9">
        <f>SUMIFS(Budget!$AA:$AA,Budget!$A:$A,$A122)</f>
        <v/>
      </c>
      <c r="N122" s="10">
        <f>SUM(B122:M122)</f>
        <v/>
      </c>
    </row>
    <row r="123">
      <c r="A123" s="5" t="inlineStr">
        <is>
          <t>Rental Income</t>
        </is>
      </c>
      <c r="B123" s="9">
        <f>SUMIFS(Budget!$P:$P,Budget!$A:$A,$A123)</f>
        <v/>
      </c>
      <c r="C123" s="9">
        <f>SUMIFS(Budget!$Q:$Q,Budget!$A:$A,$A123)</f>
        <v/>
      </c>
      <c r="D123" s="9">
        <f>SUMIFS(Budget!$R:$R,Budget!$A:$A,$A123)</f>
        <v/>
      </c>
      <c r="E123" s="9">
        <f>SUMIFS(Budget!$S:$S,Budget!$A:$A,$A123)</f>
        <v/>
      </c>
      <c r="F123" s="9">
        <f>SUMIFS(Budget!$T:$T,Budget!$A:$A,$A123)</f>
        <v/>
      </c>
      <c r="G123" s="9">
        <f>SUMIFS(Budget!$U:$U,Budget!$A:$A,$A123)</f>
        <v/>
      </c>
      <c r="H123" s="9">
        <f>SUMIFS(Budget!$V:$V,Budget!$A:$A,$A123)</f>
        <v/>
      </c>
      <c r="I123" s="9">
        <f>SUMIFS(Budget!$W:$W,Budget!$A:$A,$A123)</f>
        <v/>
      </c>
      <c r="J123" s="9">
        <f>SUMIFS(Budget!$X:$X,Budget!$A:$A,$A123)</f>
        <v/>
      </c>
      <c r="K123" s="9">
        <f>SUMIFS(Budget!$Y:$Y,Budget!$A:$A,$A123)</f>
        <v/>
      </c>
      <c r="L123" s="9">
        <f>SUMIFS(Budget!$Z:$Z,Budget!$A:$A,$A123)</f>
        <v/>
      </c>
      <c r="M123" s="9">
        <f>SUMIFS(Budget!$AA:$AA,Budget!$A:$A,$A123)</f>
        <v/>
      </c>
      <c r="N123" s="10">
        <f>SUM(B123:M123)</f>
        <v/>
      </c>
    </row>
    <row r="124">
      <c r="A124" s="11" t="inlineStr">
        <is>
          <t>Total Other Income</t>
        </is>
      </c>
      <c r="B124" s="12">
        <f>SUM(B115:B123)</f>
        <v/>
      </c>
      <c r="C124" s="12">
        <f>SUM(C115:C123)</f>
        <v/>
      </c>
      <c r="D124" s="12">
        <f>SUM(D115:D123)</f>
        <v/>
      </c>
      <c r="E124" s="12">
        <f>SUM(E115:E123)</f>
        <v/>
      </c>
      <c r="F124" s="12">
        <f>SUM(F115:F123)</f>
        <v/>
      </c>
      <c r="G124" s="12">
        <f>SUM(G115:G123)</f>
        <v/>
      </c>
      <c r="H124" s="12">
        <f>SUM(H115:H123)</f>
        <v/>
      </c>
      <c r="I124" s="12">
        <f>SUM(I115:I123)</f>
        <v/>
      </c>
      <c r="J124" s="12">
        <f>SUM(J115:J123)</f>
        <v/>
      </c>
      <c r="K124" s="12">
        <f>SUM(K115:K123)</f>
        <v/>
      </c>
      <c r="L124" s="12">
        <f>SUM(L115:L123)</f>
        <v/>
      </c>
      <c r="M124" s="12">
        <f>SUM(M115:M123)</f>
        <v/>
      </c>
      <c r="N124" s="12">
        <f>SUM(B124:M124)</f>
        <v/>
      </c>
    </row>
    <row r="126">
      <c r="A126" s="7" t="inlineStr">
        <is>
          <t>EXPENSES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5" t="inlineStr">
        <is>
          <t>1300 Number</t>
        </is>
      </c>
      <c r="B127" s="9">
        <f>SUMIFS(Budget!$P:$P,Budget!$A:$A,$A127)</f>
        <v/>
      </c>
      <c r="C127" s="9">
        <f>SUMIFS(Budget!$Q:$Q,Budget!$A:$A,$A127)</f>
        <v/>
      </c>
      <c r="D127" s="9">
        <f>SUMIFS(Budget!$R:$R,Budget!$A:$A,$A127)</f>
        <v/>
      </c>
      <c r="E127" s="9">
        <f>SUMIFS(Budget!$S:$S,Budget!$A:$A,$A127)</f>
        <v/>
      </c>
      <c r="F127" s="9">
        <f>SUMIFS(Budget!$T:$T,Budget!$A:$A,$A127)</f>
        <v/>
      </c>
      <c r="G127" s="9">
        <f>SUMIFS(Budget!$U:$U,Budget!$A:$A,$A127)</f>
        <v/>
      </c>
      <c r="H127" s="9">
        <f>SUMIFS(Budget!$V:$V,Budget!$A:$A,$A127)</f>
        <v/>
      </c>
      <c r="I127" s="9">
        <f>SUMIFS(Budget!$W:$W,Budget!$A:$A,$A127)</f>
        <v/>
      </c>
      <c r="J127" s="9">
        <f>SUMIFS(Budget!$X:$X,Budget!$A:$A,$A127)</f>
        <v/>
      </c>
      <c r="K127" s="9">
        <f>SUMIFS(Budget!$Y:$Y,Budget!$A:$A,$A127)</f>
        <v/>
      </c>
      <c r="L127" s="9">
        <f>SUMIFS(Budget!$Z:$Z,Budget!$A:$A,$A127)</f>
        <v/>
      </c>
      <c r="M127" s="9">
        <f>SUMIFS(Budget!$AA:$AA,Budget!$A:$A,$A127)</f>
        <v/>
      </c>
      <c r="N127" s="10">
        <f>SUM(B127:M127)</f>
        <v/>
      </c>
    </row>
    <row r="128">
      <c r="A128" s="5" t="inlineStr">
        <is>
          <t>Accounting Fees</t>
        </is>
      </c>
      <c r="B128" s="9">
        <f>SUMIFS(Budget!$P:$P,Budget!$A:$A,$A128)</f>
        <v/>
      </c>
      <c r="C128" s="9">
        <f>SUMIFS(Budget!$Q:$Q,Budget!$A:$A,$A128)</f>
        <v/>
      </c>
      <c r="D128" s="9">
        <f>SUMIFS(Budget!$R:$R,Budget!$A:$A,$A128)</f>
        <v/>
      </c>
      <c r="E128" s="9">
        <f>SUMIFS(Budget!$S:$S,Budget!$A:$A,$A128)</f>
        <v/>
      </c>
      <c r="F128" s="9">
        <f>SUMIFS(Budget!$T:$T,Budget!$A:$A,$A128)</f>
        <v/>
      </c>
      <c r="G128" s="9">
        <f>SUMIFS(Budget!$U:$U,Budget!$A:$A,$A128)</f>
        <v/>
      </c>
      <c r="H128" s="9">
        <f>SUMIFS(Budget!$V:$V,Budget!$A:$A,$A128)</f>
        <v/>
      </c>
      <c r="I128" s="9">
        <f>SUMIFS(Budget!$W:$W,Budget!$A:$A,$A128)</f>
        <v/>
      </c>
      <c r="J128" s="9">
        <f>SUMIFS(Budget!$X:$X,Budget!$A:$A,$A128)</f>
        <v/>
      </c>
      <c r="K128" s="9">
        <f>SUMIFS(Budget!$Y:$Y,Budget!$A:$A,$A128)</f>
        <v/>
      </c>
      <c r="L128" s="9">
        <f>SUMIFS(Budget!$Z:$Z,Budget!$A:$A,$A128)</f>
        <v/>
      </c>
      <c r="M128" s="9">
        <f>SUMIFS(Budget!$AA:$AA,Budget!$A:$A,$A128)</f>
        <v/>
      </c>
      <c r="N128" s="10">
        <f>SUM(B128:M128)</f>
        <v/>
      </c>
    </row>
    <row r="129">
      <c r="A129" s="5" t="inlineStr">
        <is>
          <t>Advertising</t>
        </is>
      </c>
      <c r="B129" s="9">
        <f>SUMIFS(Budget!$P:$P,Budget!$A:$A,$A129)</f>
        <v/>
      </c>
      <c r="C129" s="9">
        <f>SUMIFS(Budget!$Q:$Q,Budget!$A:$A,$A129)</f>
        <v/>
      </c>
      <c r="D129" s="9">
        <f>SUMIFS(Budget!$R:$R,Budget!$A:$A,$A129)</f>
        <v/>
      </c>
      <c r="E129" s="9">
        <f>SUMIFS(Budget!$S:$S,Budget!$A:$A,$A129)</f>
        <v/>
      </c>
      <c r="F129" s="9">
        <f>SUMIFS(Budget!$T:$T,Budget!$A:$A,$A129)</f>
        <v/>
      </c>
      <c r="G129" s="9">
        <f>SUMIFS(Budget!$U:$U,Budget!$A:$A,$A129)</f>
        <v/>
      </c>
      <c r="H129" s="9">
        <f>SUMIFS(Budget!$V:$V,Budget!$A:$A,$A129)</f>
        <v/>
      </c>
      <c r="I129" s="9">
        <f>SUMIFS(Budget!$W:$W,Budget!$A:$A,$A129)</f>
        <v/>
      </c>
      <c r="J129" s="9">
        <f>SUMIFS(Budget!$X:$X,Budget!$A:$A,$A129)</f>
        <v/>
      </c>
      <c r="K129" s="9">
        <f>SUMIFS(Budget!$Y:$Y,Budget!$A:$A,$A129)</f>
        <v/>
      </c>
      <c r="L129" s="9">
        <f>SUMIFS(Budget!$Z:$Z,Budget!$A:$A,$A129)</f>
        <v/>
      </c>
      <c r="M129" s="9">
        <f>SUMIFS(Budget!$AA:$AA,Budget!$A:$A,$A129)</f>
        <v/>
      </c>
      <c r="N129" s="10">
        <f>SUM(B129:M129)</f>
        <v/>
      </c>
    </row>
    <row r="130">
      <c r="A130" s="5" t="inlineStr">
        <is>
          <t>Bad Debts</t>
        </is>
      </c>
      <c r="B130" s="9">
        <f>SUMIFS(Budget!$P:$P,Budget!$A:$A,$A130)</f>
        <v/>
      </c>
      <c r="C130" s="9">
        <f>SUMIFS(Budget!$Q:$Q,Budget!$A:$A,$A130)</f>
        <v/>
      </c>
      <c r="D130" s="9">
        <f>SUMIFS(Budget!$R:$R,Budget!$A:$A,$A130)</f>
        <v/>
      </c>
      <c r="E130" s="9">
        <f>SUMIFS(Budget!$S:$S,Budget!$A:$A,$A130)</f>
        <v/>
      </c>
      <c r="F130" s="9">
        <f>SUMIFS(Budget!$T:$T,Budget!$A:$A,$A130)</f>
        <v/>
      </c>
      <c r="G130" s="9">
        <f>SUMIFS(Budget!$U:$U,Budget!$A:$A,$A130)</f>
        <v/>
      </c>
      <c r="H130" s="9">
        <f>SUMIFS(Budget!$V:$V,Budget!$A:$A,$A130)</f>
        <v/>
      </c>
      <c r="I130" s="9">
        <f>SUMIFS(Budget!$W:$W,Budget!$A:$A,$A130)</f>
        <v/>
      </c>
      <c r="J130" s="9">
        <f>SUMIFS(Budget!$X:$X,Budget!$A:$A,$A130)</f>
        <v/>
      </c>
      <c r="K130" s="9">
        <f>SUMIFS(Budget!$Y:$Y,Budget!$A:$A,$A130)</f>
        <v/>
      </c>
      <c r="L130" s="9">
        <f>SUMIFS(Budget!$Z:$Z,Budget!$A:$A,$A130)</f>
        <v/>
      </c>
      <c r="M130" s="9">
        <f>SUMIFS(Budget!$AA:$AA,Budget!$A:$A,$A130)</f>
        <v/>
      </c>
      <c r="N130" s="10">
        <f>SUM(B130:M130)</f>
        <v/>
      </c>
    </row>
    <row r="131">
      <c r="A131" s="5" t="inlineStr">
        <is>
          <t>Bank Charges</t>
        </is>
      </c>
      <c r="B131" s="9">
        <f>SUMIFS(Budget!$P:$P,Budget!$A:$A,$A131)</f>
        <v/>
      </c>
      <c r="C131" s="9">
        <f>SUMIFS(Budget!$Q:$Q,Budget!$A:$A,$A131)</f>
        <v/>
      </c>
      <c r="D131" s="9">
        <f>SUMIFS(Budget!$R:$R,Budget!$A:$A,$A131)</f>
        <v/>
      </c>
      <c r="E131" s="9">
        <f>SUMIFS(Budget!$S:$S,Budget!$A:$A,$A131)</f>
        <v/>
      </c>
      <c r="F131" s="9">
        <f>SUMIFS(Budget!$T:$T,Budget!$A:$A,$A131)</f>
        <v/>
      </c>
      <c r="G131" s="9">
        <f>SUMIFS(Budget!$U:$U,Budget!$A:$A,$A131)</f>
        <v/>
      </c>
      <c r="H131" s="9">
        <f>SUMIFS(Budget!$V:$V,Budget!$A:$A,$A131)</f>
        <v/>
      </c>
      <c r="I131" s="9">
        <f>SUMIFS(Budget!$W:$W,Budget!$A:$A,$A131)</f>
        <v/>
      </c>
      <c r="J131" s="9">
        <f>SUMIFS(Budget!$X:$X,Budget!$A:$A,$A131)</f>
        <v/>
      </c>
      <c r="K131" s="9">
        <f>SUMIFS(Budget!$Y:$Y,Budget!$A:$A,$A131)</f>
        <v/>
      </c>
      <c r="L131" s="9">
        <f>SUMIFS(Budget!$Z:$Z,Budget!$A:$A,$A131)</f>
        <v/>
      </c>
      <c r="M131" s="9">
        <f>SUMIFS(Budget!$AA:$AA,Budget!$A:$A,$A131)</f>
        <v/>
      </c>
      <c r="N131" s="10">
        <f>SUM(B131:M131)</f>
        <v/>
      </c>
    </row>
    <row r="132">
      <c r="A132" s="5" t="inlineStr">
        <is>
          <t>Bank Revaluations</t>
        </is>
      </c>
      <c r="B132" s="9">
        <f>SUMIFS(Budget!$P:$P,Budget!$A:$A,$A132)</f>
        <v/>
      </c>
      <c r="C132" s="9">
        <f>SUMIFS(Budget!$Q:$Q,Budget!$A:$A,$A132)</f>
        <v/>
      </c>
      <c r="D132" s="9">
        <f>SUMIFS(Budget!$R:$R,Budget!$A:$A,$A132)</f>
        <v/>
      </c>
      <c r="E132" s="9">
        <f>SUMIFS(Budget!$S:$S,Budget!$A:$A,$A132)</f>
        <v/>
      </c>
      <c r="F132" s="9">
        <f>SUMIFS(Budget!$T:$T,Budget!$A:$A,$A132)</f>
        <v/>
      </c>
      <c r="G132" s="9">
        <f>SUMIFS(Budget!$U:$U,Budget!$A:$A,$A132)</f>
        <v/>
      </c>
      <c r="H132" s="9">
        <f>SUMIFS(Budget!$V:$V,Budget!$A:$A,$A132)</f>
        <v/>
      </c>
      <c r="I132" s="9">
        <f>SUMIFS(Budget!$W:$W,Budget!$A:$A,$A132)</f>
        <v/>
      </c>
      <c r="J132" s="9">
        <f>SUMIFS(Budget!$X:$X,Budget!$A:$A,$A132)</f>
        <v/>
      </c>
      <c r="K132" s="9">
        <f>SUMIFS(Budget!$Y:$Y,Budget!$A:$A,$A132)</f>
        <v/>
      </c>
      <c r="L132" s="9">
        <f>SUMIFS(Budget!$Z:$Z,Budget!$A:$A,$A132)</f>
        <v/>
      </c>
      <c r="M132" s="9">
        <f>SUMIFS(Budget!$AA:$AA,Budget!$A:$A,$A132)</f>
        <v/>
      </c>
      <c r="N132" s="10">
        <f>SUM(B132:M132)</f>
        <v/>
      </c>
    </row>
    <row r="133">
      <c r="A133" s="5" t="inlineStr">
        <is>
          <t>Business Advisory</t>
        </is>
      </c>
      <c r="B133" s="9">
        <f>SUMIFS(Budget!$P:$P,Budget!$A:$A,$A133)</f>
        <v/>
      </c>
      <c r="C133" s="9">
        <f>SUMIFS(Budget!$Q:$Q,Budget!$A:$A,$A133)</f>
        <v/>
      </c>
      <c r="D133" s="9">
        <f>SUMIFS(Budget!$R:$R,Budget!$A:$A,$A133)</f>
        <v/>
      </c>
      <c r="E133" s="9">
        <f>SUMIFS(Budget!$S:$S,Budget!$A:$A,$A133)</f>
        <v/>
      </c>
      <c r="F133" s="9">
        <f>SUMIFS(Budget!$T:$T,Budget!$A:$A,$A133)</f>
        <v/>
      </c>
      <c r="G133" s="9">
        <f>SUMIFS(Budget!$U:$U,Budget!$A:$A,$A133)</f>
        <v/>
      </c>
      <c r="H133" s="9">
        <f>SUMIFS(Budget!$V:$V,Budget!$A:$A,$A133)</f>
        <v/>
      </c>
      <c r="I133" s="9">
        <f>SUMIFS(Budget!$W:$W,Budget!$A:$A,$A133)</f>
        <v/>
      </c>
      <c r="J133" s="9">
        <f>SUMIFS(Budget!$X:$X,Budget!$A:$A,$A133)</f>
        <v/>
      </c>
      <c r="K133" s="9">
        <f>SUMIFS(Budget!$Y:$Y,Budget!$A:$A,$A133)</f>
        <v/>
      </c>
      <c r="L133" s="9">
        <f>SUMIFS(Budget!$Z:$Z,Budget!$A:$A,$A133)</f>
        <v/>
      </c>
      <c r="M133" s="9">
        <f>SUMIFS(Budget!$AA:$AA,Budget!$A:$A,$A133)</f>
        <v/>
      </c>
      <c r="N133" s="10">
        <f>SUM(B133:M133)</f>
        <v/>
      </c>
    </row>
    <row r="134">
      <c r="A134" s="5" t="inlineStr">
        <is>
          <t>Business Combined</t>
        </is>
      </c>
      <c r="B134" s="9">
        <f>SUMIFS(Budget!$P:$P,Budget!$A:$A,$A134)</f>
        <v/>
      </c>
      <c r="C134" s="9">
        <f>SUMIFS(Budget!$Q:$Q,Budget!$A:$A,$A134)</f>
        <v/>
      </c>
      <c r="D134" s="9">
        <f>SUMIFS(Budget!$R:$R,Budget!$A:$A,$A134)</f>
        <v/>
      </c>
      <c r="E134" s="9">
        <f>SUMIFS(Budget!$S:$S,Budget!$A:$A,$A134)</f>
        <v/>
      </c>
      <c r="F134" s="9">
        <f>SUMIFS(Budget!$T:$T,Budget!$A:$A,$A134)</f>
        <v/>
      </c>
      <c r="G134" s="9">
        <f>SUMIFS(Budget!$U:$U,Budget!$A:$A,$A134)</f>
        <v/>
      </c>
      <c r="H134" s="9">
        <f>SUMIFS(Budget!$V:$V,Budget!$A:$A,$A134)</f>
        <v/>
      </c>
      <c r="I134" s="9">
        <f>SUMIFS(Budget!$W:$W,Budget!$A:$A,$A134)</f>
        <v/>
      </c>
      <c r="J134" s="9">
        <f>SUMIFS(Budget!$X:$X,Budget!$A:$A,$A134)</f>
        <v/>
      </c>
      <c r="K134" s="9">
        <f>SUMIFS(Budget!$Y:$Y,Budget!$A:$A,$A134)</f>
        <v/>
      </c>
      <c r="L134" s="9">
        <f>SUMIFS(Budget!$Z:$Z,Budget!$A:$A,$A134)</f>
        <v/>
      </c>
      <c r="M134" s="9">
        <f>SUMIFS(Budget!$AA:$AA,Budget!$A:$A,$A134)</f>
        <v/>
      </c>
      <c r="N134" s="10">
        <f>SUM(B134:M134)</f>
        <v/>
      </c>
    </row>
    <row r="135">
      <c r="A135" s="5" t="inlineStr">
        <is>
          <t>Client Entertainment</t>
        </is>
      </c>
      <c r="B135" s="9">
        <f>SUMIFS(Budget!$P:$P,Budget!$A:$A,$A135)</f>
        <v/>
      </c>
      <c r="C135" s="9">
        <f>SUMIFS(Budget!$Q:$Q,Budget!$A:$A,$A135)</f>
        <v/>
      </c>
      <c r="D135" s="9">
        <f>SUMIFS(Budget!$R:$R,Budget!$A:$A,$A135)</f>
        <v/>
      </c>
      <c r="E135" s="9">
        <f>SUMIFS(Budget!$S:$S,Budget!$A:$A,$A135)</f>
        <v/>
      </c>
      <c r="F135" s="9">
        <f>SUMIFS(Budget!$T:$T,Budget!$A:$A,$A135)</f>
        <v/>
      </c>
      <c r="G135" s="9">
        <f>SUMIFS(Budget!$U:$U,Budget!$A:$A,$A135)</f>
        <v/>
      </c>
      <c r="H135" s="9">
        <f>SUMIFS(Budget!$V:$V,Budget!$A:$A,$A135)</f>
        <v/>
      </c>
      <c r="I135" s="9">
        <f>SUMIFS(Budget!$W:$W,Budget!$A:$A,$A135)</f>
        <v/>
      </c>
      <c r="J135" s="9">
        <f>SUMIFS(Budget!$X:$X,Budget!$A:$A,$A135)</f>
        <v/>
      </c>
      <c r="K135" s="9">
        <f>SUMIFS(Budget!$Y:$Y,Budget!$A:$A,$A135)</f>
        <v/>
      </c>
      <c r="L135" s="9">
        <f>SUMIFS(Budget!$Z:$Z,Budget!$A:$A,$A135)</f>
        <v/>
      </c>
      <c r="M135" s="9">
        <f>SUMIFS(Budget!$AA:$AA,Budget!$A:$A,$A135)</f>
        <v/>
      </c>
      <c r="N135" s="10">
        <f>SUM(B135:M135)</f>
        <v/>
      </c>
    </row>
    <row r="136">
      <c r="A136" s="5" t="inlineStr">
        <is>
          <t>Credit Card Fees Paid</t>
        </is>
      </c>
      <c r="B136" s="9">
        <f>SUMIFS(Budget!$P:$P,Budget!$A:$A,$A136)</f>
        <v/>
      </c>
      <c r="C136" s="9">
        <f>SUMIFS(Budget!$Q:$Q,Budget!$A:$A,$A136)</f>
        <v/>
      </c>
      <c r="D136" s="9">
        <f>SUMIFS(Budget!$R:$R,Budget!$A:$A,$A136)</f>
        <v/>
      </c>
      <c r="E136" s="9">
        <f>SUMIFS(Budget!$S:$S,Budget!$A:$A,$A136)</f>
        <v/>
      </c>
      <c r="F136" s="9">
        <f>SUMIFS(Budget!$T:$T,Budget!$A:$A,$A136)</f>
        <v/>
      </c>
      <c r="G136" s="9">
        <f>SUMIFS(Budget!$U:$U,Budget!$A:$A,$A136)</f>
        <v/>
      </c>
      <c r="H136" s="9">
        <f>SUMIFS(Budget!$V:$V,Budget!$A:$A,$A136)</f>
        <v/>
      </c>
      <c r="I136" s="9">
        <f>SUMIFS(Budget!$W:$W,Budget!$A:$A,$A136)</f>
        <v/>
      </c>
      <c r="J136" s="9">
        <f>SUMIFS(Budget!$X:$X,Budget!$A:$A,$A136)</f>
        <v/>
      </c>
      <c r="K136" s="9">
        <f>SUMIFS(Budget!$Y:$Y,Budget!$A:$A,$A136)</f>
        <v/>
      </c>
      <c r="L136" s="9">
        <f>SUMIFS(Budget!$Z:$Z,Budget!$A:$A,$A136)</f>
        <v/>
      </c>
      <c r="M136" s="9">
        <f>SUMIFS(Budget!$AA:$AA,Budget!$A:$A,$A136)</f>
        <v/>
      </c>
      <c r="N136" s="10">
        <f>SUM(B136:M136)</f>
        <v/>
      </c>
    </row>
    <row r="137">
      <c r="A137" s="5" t="inlineStr">
        <is>
          <t>Custodian Vaults</t>
        </is>
      </c>
      <c r="B137" s="9">
        <f>SUMIFS(Budget!$P:$P,Budget!$A:$A,$A137)</f>
        <v/>
      </c>
      <c r="C137" s="9">
        <f>SUMIFS(Budget!$Q:$Q,Budget!$A:$A,$A137)</f>
        <v/>
      </c>
      <c r="D137" s="9">
        <f>SUMIFS(Budget!$R:$R,Budget!$A:$A,$A137)</f>
        <v/>
      </c>
      <c r="E137" s="9">
        <f>SUMIFS(Budget!$S:$S,Budget!$A:$A,$A137)</f>
        <v/>
      </c>
      <c r="F137" s="9">
        <f>SUMIFS(Budget!$T:$T,Budget!$A:$A,$A137)</f>
        <v/>
      </c>
      <c r="G137" s="9">
        <f>SUMIFS(Budget!$U:$U,Budget!$A:$A,$A137)</f>
        <v/>
      </c>
      <c r="H137" s="9">
        <f>SUMIFS(Budget!$V:$V,Budget!$A:$A,$A137)</f>
        <v/>
      </c>
      <c r="I137" s="9">
        <f>SUMIFS(Budget!$W:$W,Budget!$A:$A,$A137)</f>
        <v/>
      </c>
      <c r="J137" s="9">
        <f>SUMIFS(Budget!$X:$X,Budget!$A:$A,$A137)</f>
        <v/>
      </c>
      <c r="K137" s="9">
        <f>SUMIFS(Budget!$Y:$Y,Budget!$A:$A,$A137)</f>
        <v/>
      </c>
      <c r="L137" s="9">
        <f>SUMIFS(Budget!$Z:$Z,Budget!$A:$A,$A137)</f>
        <v/>
      </c>
      <c r="M137" s="9">
        <f>SUMIFS(Budget!$AA:$AA,Budget!$A:$A,$A137)</f>
        <v/>
      </c>
      <c r="N137" s="10">
        <f>SUM(B137:M137)</f>
        <v/>
      </c>
    </row>
    <row r="138">
      <c r="A138" s="5" t="inlineStr">
        <is>
          <t>Depreciation</t>
        </is>
      </c>
      <c r="B138" s="9">
        <f>SUMIFS(Budget!$P:$P,Budget!$A:$A,$A138)</f>
        <v/>
      </c>
      <c r="C138" s="9">
        <f>SUMIFS(Budget!$Q:$Q,Budget!$A:$A,$A138)</f>
        <v/>
      </c>
      <c r="D138" s="9">
        <f>SUMIFS(Budget!$R:$R,Budget!$A:$A,$A138)</f>
        <v/>
      </c>
      <c r="E138" s="9">
        <f>SUMIFS(Budget!$S:$S,Budget!$A:$A,$A138)</f>
        <v/>
      </c>
      <c r="F138" s="9">
        <f>SUMIFS(Budget!$T:$T,Budget!$A:$A,$A138)</f>
        <v/>
      </c>
      <c r="G138" s="9">
        <f>SUMIFS(Budget!$U:$U,Budget!$A:$A,$A138)</f>
        <v/>
      </c>
      <c r="H138" s="9">
        <f>SUMIFS(Budget!$V:$V,Budget!$A:$A,$A138)</f>
        <v/>
      </c>
      <c r="I138" s="9">
        <f>SUMIFS(Budget!$W:$W,Budget!$A:$A,$A138)</f>
        <v/>
      </c>
      <c r="J138" s="9">
        <f>SUMIFS(Budget!$X:$X,Budget!$A:$A,$A138)</f>
        <v/>
      </c>
      <c r="K138" s="9">
        <f>SUMIFS(Budget!$Y:$Y,Budget!$A:$A,$A138)</f>
        <v/>
      </c>
      <c r="L138" s="9">
        <f>SUMIFS(Budget!$Z:$Z,Budget!$A:$A,$A138)</f>
        <v/>
      </c>
      <c r="M138" s="9">
        <f>SUMIFS(Budget!$AA:$AA,Budget!$A:$A,$A138)</f>
        <v/>
      </c>
      <c r="N138" s="10">
        <f>SUM(B138:M138)</f>
        <v/>
      </c>
    </row>
    <row r="139">
      <c r="A139" s="5" t="inlineStr">
        <is>
          <t>Depreciation - ROU</t>
        </is>
      </c>
      <c r="B139" s="9">
        <f>SUMIFS(Budget!$P:$P,Budget!$A:$A,$A139)</f>
        <v/>
      </c>
      <c r="C139" s="9">
        <f>SUMIFS(Budget!$Q:$Q,Budget!$A:$A,$A139)</f>
        <v/>
      </c>
      <c r="D139" s="9">
        <f>SUMIFS(Budget!$R:$R,Budget!$A:$A,$A139)</f>
        <v/>
      </c>
      <c r="E139" s="9">
        <f>SUMIFS(Budget!$S:$S,Budget!$A:$A,$A139)</f>
        <v/>
      </c>
      <c r="F139" s="9">
        <f>SUMIFS(Budget!$T:$T,Budget!$A:$A,$A139)</f>
        <v/>
      </c>
      <c r="G139" s="9">
        <f>SUMIFS(Budget!$U:$U,Budget!$A:$A,$A139)</f>
        <v/>
      </c>
      <c r="H139" s="9">
        <f>SUMIFS(Budget!$V:$V,Budget!$A:$A,$A139)</f>
        <v/>
      </c>
      <c r="I139" s="9">
        <f>SUMIFS(Budget!$W:$W,Budget!$A:$A,$A139)</f>
        <v/>
      </c>
      <c r="J139" s="9">
        <f>SUMIFS(Budget!$X:$X,Budget!$A:$A,$A139)</f>
        <v/>
      </c>
      <c r="K139" s="9">
        <f>SUMIFS(Budget!$Y:$Y,Budget!$A:$A,$A139)</f>
        <v/>
      </c>
      <c r="L139" s="9">
        <f>SUMIFS(Budget!$Z:$Z,Budget!$A:$A,$A139)</f>
        <v/>
      </c>
      <c r="M139" s="9">
        <f>SUMIFS(Budget!$AA:$AA,Budget!$A:$A,$A139)</f>
        <v/>
      </c>
      <c r="N139" s="10">
        <f>SUM(B139:M139)</f>
        <v/>
      </c>
    </row>
    <row r="140">
      <c r="A140" s="5" t="inlineStr">
        <is>
          <t>Discounts Taken</t>
        </is>
      </c>
      <c r="B140" s="9">
        <f>SUMIFS(Budget!$P:$P,Budget!$A:$A,$A140)</f>
        <v/>
      </c>
      <c r="C140" s="9">
        <f>SUMIFS(Budget!$Q:$Q,Budget!$A:$A,$A140)</f>
        <v/>
      </c>
      <c r="D140" s="9">
        <f>SUMIFS(Budget!$R:$R,Budget!$A:$A,$A140)</f>
        <v/>
      </c>
      <c r="E140" s="9">
        <f>SUMIFS(Budget!$S:$S,Budget!$A:$A,$A140)</f>
        <v/>
      </c>
      <c r="F140" s="9">
        <f>SUMIFS(Budget!$T:$T,Budget!$A:$A,$A140)</f>
        <v/>
      </c>
      <c r="G140" s="9">
        <f>SUMIFS(Budget!$U:$U,Budget!$A:$A,$A140)</f>
        <v/>
      </c>
      <c r="H140" s="9">
        <f>SUMIFS(Budget!$V:$V,Budget!$A:$A,$A140)</f>
        <v/>
      </c>
      <c r="I140" s="9">
        <f>SUMIFS(Budget!$W:$W,Budget!$A:$A,$A140)</f>
        <v/>
      </c>
      <c r="J140" s="9">
        <f>SUMIFS(Budget!$X:$X,Budget!$A:$A,$A140)</f>
        <v/>
      </c>
      <c r="K140" s="9">
        <f>SUMIFS(Budget!$Y:$Y,Budget!$A:$A,$A140)</f>
        <v/>
      </c>
      <c r="L140" s="9">
        <f>SUMIFS(Budget!$Z:$Z,Budget!$A:$A,$A140)</f>
        <v/>
      </c>
      <c r="M140" s="9">
        <f>SUMIFS(Budget!$AA:$AA,Budget!$A:$A,$A140)</f>
        <v/>
      </c>
      <c r="N140" s="10">
        <f>SUM(B140:M140)</f>
        <v/>
      </c>
    </row>
    <row r="141">
      <c r="A141" s="5" t="inlineStr">
        <is>
          <t>Disposal of fixed assets</t>
        </is>
      </c>
      <c r="B141" s="9">
        <f>SUMIFS(Budget!$P:$P,Budget!$A:$A,$A141)</f>
        <v/>
      </c>
      <c r="C141" s="9">
        <f>SUMIFS(Budget!$Q:$Q,Budget!$A:$A,$A141)</f>
        <v/>
      </c>
      <c r="D141" s="9">
        <f>SUMIFS(Budget!$R:$R,Budget!$A:$A,$A141)</f>
        <v/>
      </c>
      <c r="E141" s="9">
        <f>SUMIFS(Budget!$S:$S,Budget!$A:$A,$A141)</f>
        <v/>
      </c>
      <c r="F141" s="9">
        <f>SUMIFS(Budget!$T:$T,Budget!$A:$A,$A141)</f>
        <v/>
      </c>
      <c r="G141" s="9">
        <f>SUMIFS(Budget!$U:$U,Budget!$A:$A,$A141)</f>
        <v/>
      </c>
      <c r="H141" s="9">
        <f>SUMIFS(Budget!$V:$V,Budget!$A:$A,$A141)</f>
        <v/>
      </c>
      <c r="I141" s="9">
        <f>SUMIFS(Budget!$W:$W,Budget!$A:$A,$A141)</f>
        <v/>
      </c>
      <c r="J141" s="9">
        <f>SUMIFS(Budget!$X:$X,Budget!$A:$A,$A141)</f>
        <v/>
      </c>
      <c r="K141" s="9">
        <f>SUMIFS(Budget!$Y:$Y,Budget!$A:$A,$A141)</f>
        <v/>
      </c>
      <c r="L141" s="9">
        <f>SUMIFS(Budget!$Z:$Z,Budget!$A:$A,$A141)</f>
        <v/>
      </c>
      <c r="M141" s="9">
        <f>SUMIFS(Budget!$AA:$AA,Budget!$A:$A,$A141)</f>
        <v/>
      </c>
      <c r="N141" s="10">
        <f>SUM(B141:M141)</f>
        <v/>
      </c>
    </row>
    <row r="142">
      <c r="A142" s="5" t="inlineStr">
        <is>
          <t>Dividend paid [93000]</t>
        </is>
      </c>
      <c r="B142" s="9">
        <f>SUMIFS(Budget!$P:$P,Budget!$A:$A,$A142)</f>
        <v/>
      </c>
      <c r="C142" s="9">
        <f>SUMIFS(Budget!$Q:$Q,Budget!$A:$A,$A142)</f>
        <v/>
      </c>
      <c r="D142" s="9">
        <f>SUMIFS(Budget!$R:$R,Budget!$A:$A,$A142)</f>
        <v/>
      </c>
      <c r="E142" s="9">
        <f>SUMIFS(Budget!$S:$S,Budget!$A:$A,$A142)</f>
        <v/>
      </c>
      <c r="F142" s="9">
        <f>SUMIFS(Budget!$T:$T,Budget!$A:$A,$A142)</f>
        <v/>
      </c>
      <c r="G142" s="9">
        <f>SUMIFS(Budget!$U:$U,Budget!$A:$A,$A142)</f>
        <v/>
      </c>
      <c r="H142" s="9">
        <f>SUMIFS(Budget!$V:$V,Budget!$A:$A,$A142)</f>
        <v/>
      </c>
      <c r="I142" s="9">
        <f>SUMIFS(Budget!$W:$W,Budget!$A:$A,$A142)</f>
        <v/>
      </c>
      <c r="J142" s="9">
        <f>SUMIFS(Budget!$X:$X,Budget!$A:$A,$A142)</f>
        <v/>
      </c>
      <c r="K142" s="9">
        <f>SUMIFS(Budget!$Y:$Y,Budget!$A:$A,$A142)</f>
        <v/>
      </c>
      <c r="L142" s="9">
        <f>SUMIFS(Budget!$Z:$Z,Budget!$A:$A,$A142)</f>
        <v/>
      </c>
      <c r="M142" s="9">
        <f>SUMIFS(Budget!$AA:$AA,Budget!$A:$A,$A142)</f>
        <v/>
      </c>
      <c r="N142" s="10">
        <f>SUM(B142:M142)</f>
        <v/>
      </c>
    </row>
    <row r="143">
      <c r="A143" s="5" t="inlineStr">
        <is>
          <t>Donations / Charity</t>
        </is>
      </c>
      <c r="B143" s="9">
        <f>SUMIFS(Budget!$P:$P,Budget!$A:$A,$A143)</f>
        <v/>
      </c>
      <c r="C143" s="9">
        <f>SUMIFS(Budget!$Q:$Q,Budget!$A:$A,$A143)</f>
        <v/>
      </c>
      <c r="D143" s="9">
        <f>SUMIFS(Budget!$R:$R,Budget!$A:$A,$A143)</f>
        <v/>
      </c>
      <c r="E143" s="9">
        <f>SUMIFS(Budget!$S:$S,Budget!$A:$A,$A143)</f>
        <v/>
      </c>
      <c r="F143" s="9">
        <f>SUMIFS(Budget!$T:$T,Budget!$A:$A,$A143)</f>
        <v/>
      </c>
      <c r="G143" s="9">
        <f>SUMIFS(Budget!$U:$U,Budget!$A:$A,$A143)</f>
        <v/>
      </c>
      <c r="H143" s="9">
        <f>SUMIFS(Budget!$V:$V,Budget!$A:$A,$A143)</f>
        <v/>
      </c>
      <c r="I143" s="9">
        <f>SUMIFS(Budget!$W:$W,Budget!$A:$A,$A143)</f>
        <v/>
      </c>
      <c r="J143" s="9">
        <f>SUMIFS(Budget!$X:$X,Budget!$A:$A,$A143)</f>
        <v/>
      </c>
      <c r="K143" s="9">
        <f>SUMIFS(Budget!$Y:$Y,Budget!$A:$A,$A143)</f>
        <v/>
      </c>
      <c r="L143" s="9">
        <f>SUMIFS(Budget!$Z:$Z,Budget!$A:$A,$A143)</f>
        <v/>
      </c>
      <c r="M143" s="9">
        <f>SUMIFS(Budget!$AA:$AA,Budget!$A:$A,$A143)</f>
        <v/>
      </c>
      <c r="N143" s="10">
        <f>SUM(B143:M143)</f>
        <v/>
      </c>
    </row>
    <row r="144">
      <c r="A144" s="5" t="inlineStr">
        <is>
          <t>Dues &amp; Subscriptions</t>
        </is>
      </c>
      <c r="B144" s="9">
        <f>SUMIFS(Budget!$P:$P,Budget!$A:$A,$A144)</f>
        <v/>
      </c>
      <c r="C144" s="9">
        <f>SUMIFS(Budget!$Q:$Q,Budget!$A:$A,$A144)</f>
        <v/>
      </c>
      <c r="D144" s="9">
        <f>SUMIFS(Budget!$R:$R,Budget!$A:$A,$A144)</f>
        <v/>
      </c>
      <c r="E144" s="9">
        <f>SUMIFS(Budget!$S:$S,Budget!$A:$A,$A144)</f>
        <v/>
      </c>
      <c r="F144" s="9">
        <f>SUMIFS(Budget!$T:$T,Budget!$A:$A,$A144)</f>
        <v/>
      </c>
      <c r="G144" s="9">
        <f>SUMIFS(Budget!$U:$U,Budget!$A:$A,$A144)</f>
        <v/>
      </c>
      <c r="H144" s="9">
        <f>SUMIFS(Budget!$V:$V,Budget!$A:$A,$A144)</f>
        <v/>
      </c>
      <c r="I144" s="9">
        <f>SUMIFS(Budget!$W:$W,Budget!$A:$A,$A144)</f>
        <v/>
      </c>
      <c r="J144" s="9">
        <f>SUMIFS(Budget!$X:$X,Budget!$A:$A,$A144)</f>
        <v/>
      </c>
      <c r="K144" s="9">
        <f>SUMIFS(Budget!$Y:$Y,Budget!$A:$A,$A144)</f>
        <v/>
      </c>
      <c r="L144" s="9">
        <f>SUMIFS(Budget!$Z:$Z,Budget!$A:$A,$A144)</f>
        <v/>
      </c>
      <c r="M144" s="9">
        <f>SUMIFS(Budget!$AA:$AA,Budget!$A:$A,$A144)</f>
        <v/>
      </c>
      <c r="N144" s="10">
        <f>SUM(B144:M144)</f>
        <v/>
      </c>
    </row>
    <row r="145">
      <c r="A145" s="5" t="inlineStr">
        <is>
          <t>Electricity</t>
        </is>
      </c>
      <c r="B145" s="9">
        <f>SUMIFS(Budget!$P:$P,Budget!$A:$A,$A145)</f>
        <v/>
      </c>
      <c r="C145" s="9">
        <f>SUMIFS(Budget!$Q:$Q,Budget!$A:$A,$A145)</f>
        <v/>
      </c>
      <c r="D145" s="9">
        <f>SUMIFS(Budget!$R:$R,Budget!$A:$A,$A145)</f>
        <v/>
      </c>
      <c r="E145" s="9">
        <f>SUMIFS(Budget!$S:$S,Budget!$A:$A,$A145)</f>
        <v/>
      </c>
      <c r="F145" s="9">
        <f>SUMIFS(Budget!$T:$T,Budget!$A:$A,$A145)</f>
        <v/>
      </c>
      <c r="G145" s="9">
        <f>SUMIFS(Budget!$U:$U,Budget!$A:$A,$A145)</f>
        <v/>
      </c>
      <c r="H145" s="9">
        <f>SUMIFS(Budget!$V:$V,Budget!$A:$A,$A145)</f>
        <v/>
      </c>
      <c r="I145" s="9">
        <f>SUMIFS(Budget!$W:$W,Budget!$A:$A,$A145)</f>
        <v/>
      </c>
      <c r="J145" s="9">
        <f>SUMIFS(Budget!$X:$X,Budget!$A:$A,$A145)</f>
        <v/>
      </c>
      <c r="K145" s="9">
        <f>SUMIFS(Budget!$Y:$Y,Budget!$A:$A,$A145)</f>
        <v/>
      </c>
      <c r="L145" s="9">
        <f>SUMIFS(Budget!$Z:$Z,Budget!$A:$A,$A145)</f>
        <v/>
      </c>
      <c r="M145" s="9">
        <f>SUMIFS(Budget!$AA:$AA,Budget!$A:$A,$A145)</f>
        <v/>
      </c>
      <c r="N145" s="10">
        <f>SUM(B145:M145)</f>
        <v/>
      </c>
    </row>
    <row r="146">
      <c r="A146" s="5" t="inlineStr">
        <is>
          <t>Fax</t>
        </is>
      </c>
      <c r="B146" s="9">
        <f>SUMIFS(Budget!$P:$P,Budget!$A:$A,$A146)</f>
        <v/>
      </c>
      <c r="C146" s="9">
        <f>SUMIFS(Budget!$Q:$Q,Budget!$A:$A,$A146)</f>
        <v/>
      </c>
      <c r="D146" s="9">
        <f>SUMIFS(Budget!$R:$R,Budget!$A:$A,$A146)</f>
        <v/>
      </c>
      <c r="E146" s="9">
        <f>SUMIFS(Budget!$S:$S,Budget!$A:$A,$A146)</f>
        <v/>
      </c>
      <c r="F146" s="9">
        <f>SUMIFS(Budget!$T:$T,Budget!$A:$A,$A146)</f>
        <v/>
      </c>
      <c r="G146" s="9">
        <f>SUMIFS(Budget!$U:$U,Budget!$A:$A,$A146)</f>
        <v/>
      </c>
      <c r="H146" s="9">
        <f>SUMIFS(Budget!$V:$V,Budget!$A:$A,$A146)</f>
        <v/>
      </c>
      <c r="I146" s="9">
        <f>SUMIFS(Budget!$W:$W,Budget!$A:$A,$A146)</f>
        <v/>
      </c>
      <c r="J146" s="9">
        <f>SUMIFS(Budget!$X:$X,Budget!$A:$A,$A146)</f>
        <v/>
      </c>
      <c r="K146" s="9">
        <f>SUMIFS(Budget!$Y:$Y,Budget!$A:$A,$A146)</f>
        <v/>
      </c>
      <c r="L146" s="9">
        <f>SUMIFS(Budget!$Z:$Z,Budget!$A:$A,$A146)</f>
        <v/>
      </c>
      <c r="M146" s="9">
        <f>SUMIFS(Budget!$AA:$AA,Budget!$A:$A,$A146)</f>
        <v/>
      </c>
      <c r="N146" s="10">
        <f>SUM(B146:M146)</f>
        <v/>
      </c>
    </row>
    <row r="147">
      <c r="A147" s="5" t="inlineStr">
        <is>
          <t>Filing Fee</t>
        </is>
      </c>
      <c r="B147" s="9">
        <f>SUMIFS(Budget!$P:$P,Budget!$A:$A,$A147)</f>
        <v/>
      </c>
      <c r="C147" s="9">
        <f>SUMIFS(Budget!$Q:$Q,Budget!$A:$A,$A147)</f>
        <v/>
      </c>
      <c r="D147" s="9">
        <f>SUMIFS(Budget!$R:$R,Budget!$A:$A,$A147)</f>
        <v/>
      </c>
      <c r="E147" s="9">
        <f>SUMIFS(Budget!$S:$S,Budget!$A:$A,$A147)</f>
        <v/>
      </c>
      <c r="F147" s="9">
        <f>SUMIFS(Budget!$T:$T,Budget!$A:$A,$A147)</f>
        <v/>
      </c>
      <c r="G147" s="9">
        <f>SUMIFS(Budget!$U:$U,Budget!$A:$A,$A147)</f>
        <v/>
      </c>
      <c r="H147" s="9">
        <f>SUMIFS(Budget!$V:$V,Budget!$A:$A,$A147)</f>
        <v/>
      </c>
      <c r="I147" s="9">
        <f>SUMIFS(Budget!$W:$W,Budget!$A:$A,$A147)</f>
        <v/>
      </c>
      <c r="J147" s="9">
        <f>SUMIFS(Budget!$X:$X,Budget!$A:$A,$A147)</f>
        <v/>
      </c>
      <c r="K147" s="9">
        <f>SUMIFS(Budget!$Y:$Y,Budget!$A:$A,$A147)</f>
        <v/>
      </c>
      <c r="L147" s="9">
        <f>SUMIFS(Budget!$Z:$Z,Budget!$A:$A,$A147)</f>
        <v/>
      </c>
      <c r="M147" s="9">
        <f>SUMIFS(Budget!$AA:$AA,Budget!$A:$A,$A147)</f>
        <v/>
      </c>
      <c r="N147" s="10">
        <f>SUM(B147:M147)</f>
        <v/>
      </c>
    </row>
    <row r="148">
      <c r="A148" s="5" t="inlineStr">
        <is>
          <t>Foreign Currency Translation*</t>
        </is>
      </c>
      <c r="B148" s="9">
        <f>SUMIFS(Budget!$P:$P,Budget!$A:$A,$A148)</f>
        <v/>
      </c>
      <c r="C148" s="9">
        <f>SUMIFS(Budget!$Q:$Q,Budget!$A:$A,$A148)</f>
        <v/>
      </c>
      <c r="D148" s="9">
        <f>SUMIFS(Budget!$R:$R,Budget!$A:$A,$A148)</f>
        <v/>
      </c>
      <c r="E148" s="9">
        <f>SUMIFS(Budget!$S:$S,Budget!$A:$A,$A148)</f>
        <v/>
      </c>
      <c r="F148" s="9">
        <f>SUMIFS(Budget!$T:$T,Budget!$A:$A,$A148)</f>
        <v/>
      </c>
      <c r="G148" s="9">
        <f>SUMIFS(Budget!$U:$U,Budget!$A:$A,$A148)</f>
        <v/>
      </c>
      <c r="H148" s="9">
        <f>SUMIFS(Budget!$V:$V,Budget!$A:$A,$A148)</f>
        <v/>
      </c>
      <c r="I148" s="9">
        <f>SUMIFS(Budget!$W:$W,Budget!$A:$A,$A148)</f>
        <v/>
      </c>
      <c r="J148" s="9">
        <f>SUMIFS(Budget!$X:$X,Budget!$A:$A,$A148)</f>
        <v/>
      </c>
      <c r="K148" s="9">
        <f>SUMIFS(Budget!$Y:$Y,Budget!$A:$A,$A148)</f>
        <v/>
      </c>
      <c r="L148" s="9">
        <f>SUMIFS(Budget!$Z:$Z,Budget!$A:$A,$A148)</f>
        <v/>
      </c>
      <c r="M148" s="9">
        <f>SUMIFS(Budget!$AA:$AA,Budget!$A:$A,$A148)</f>
        <v/>
      </c>
      <c r="N148" s="10">
        <f>SUM(B148:M148)</f>
        <v/>
      </c>
    </row>
    <row r="149">
      <c r="A149" s="5" t="inlineStr">
        <is>
          <t>Freight Paid</t>
        </is>
      </c>
      <c r="B149" s="9">
        <f>SUMIFS(Budget!$P:$P,Budget!$A:$A,$A149)</f>
        <v/>
      </c>
      <c r="C149" s="9">
        <f>SUMIFS(Budget!$Q:$Q,Budget!$A:$A,$A149)</f>
        <v/>
      </c>
      <c r="D149" s="9">
        <f>SUMIFS(Budget!$R:$R,Budget!$A:$A,$A149)</f>
        <v/>
      </c>
      <c r="E149" s="9">
        <f>SUMIFS(Budget!$S:$S,Budget!$A:$A,$A149)</f>
        <v/>
      </c>
      <c r="F149" s="9">
        <f>SUMIFS(Budget!$T:$T,Budget!$A:$A,$A149)</f>
        <v/>
      </c>
      <c r="G149" s="9">
        <f>SUMIFS(Budget!$U:$U,Budget!$A:$A,$A149)</f>
        <v/>
      </c>
      <c r="H149" s="9">
        <f>SUMIFS(Budget!$V:$V,Budget!$A:$A,$A149)</f>
        <v/>
      </c>
      <c r="I149" s="9">
        <f>SUMIFS(Budget!$W:$W,Budget!$A:$A,$A149)</f>
        <v/>
      </c>
      <c r="J149" s="9">
        <f>SUMIFS(Budget!$X:$X,Budget!$A:$A,$A149)</f>
        <v/>
      </c>
      <c r="K149" s="9">
        <f>SUMIFS(Budget!$Y:$Y,Budget!$A:$A,$A149)</f>
        <v/>
      </c>
      <c r="L149" s="9">
        <f>SUMIFS(Budget!$Z:$Z,Budget!$A:$A,$A149)</f>
        <v/>
      </c>
      <c r="M149" s="9">
        <f>SUMIFS(Budget!$AA:$AA,Budget!$A:$A,$A149)</f>
        <v/>
      </c>
      <c r="N149" s="10">
        <f>SUM(B149:M149)</f>
        <v/>
      </c>
    </row>
    <row r="150">
      <c r="A150" s="5" t="inlineStr">
        <is>
          <t>Fringe Benefits Tax</t>
        </is>
      </c>
      <c r="B150" s="9">
        <f>SUMIFS(Budget!$P:$P,Budget!$A:$A,$A150)</f>
        <v/>
      </c>
      <c r="C150" s="9">
        <f>SUMIFS(Budget!$Q:$Q,Budget!$A:$A,$A150)</f>
        <v/>
      </c>
      <c r="D150" s="9">
        <f>SUMIFS(Budget!$R:$R,Budget!$A:$A,$A150)</f>
        <v/>
      </c>
      <c r="E150" s="9">
        <f>SUMIFS(Budget!$S:$S,Budget!$A:$A,$A150)</f>
        <v/>
      </c>
      <c r="F150" s="9">
        <f>SUMIFS(Budget!$T:$T,Budget!$A:$A,$A150)</f>
        <v/>
      </c>
      <c r="G150" s="9">
        <f>SUMIFS(Budget!$U:$U,Budget!$A:$A,$A150)</f>
        <v/>
      </c>
      <c r="H150" s="9">
        <f>SUMIFS(Budget!$V:$V,Budget!$A:$A,$A150)</f>
        <v/>
      </c>
      <c r="I150" s="9">
        <f>SUMIFS(Budget!$W:$W,Budget!$A:$A,$A150)</f>
        <v/>
      </c>
      <c r="J150" s="9">
        <f>SUMIFS(Budget!$X:$X,Budget!$A:$A,$A150)</f>
        <v/>
      </c>
      <c r="K150" s="9">
        <f>SUMIFS(Budget!$Y:$Y,Budget!$A:$A,$A150)</f>
        <v/>
      </c>
      <c r="L150" s="9">
        <f>SUMIFS(Budget!$Z:$Z,Budget!$A:$A,$A150)</f>
        <v/>
      </c>
      <c r="M150" s="9">
        <f>SUMIFS(Budget!$AA:$AA,Budget!$A:$A,$A150)</f>
        <v/>
      </c>
      <c r="N150" s="10">
        <f>SUM(B150:M150)</f>
        <v/>
      </c>
    </row>
    <row r="151">
      <c r="A151" s="5" t="inlineStr">
        <is>
          <t>IT Network Service &amp; Support</t>
        </is>
      </c>
      <c r="B151" s="9">
        <f>SUMIFS(Budget!$P:$P,Budget!$A:$A,$A151)</f>
        <v/>
      </c>
      <c r="C151" s="9">
        <f>SUMIFS(Budget!$Q:$Q,Budget!$A:$A,$A151)</f>
        <v/>
      </c>
      <c r="D151" s="9">
        <f>SUMIFS(Budget!$R:$R,Budget!$A:$A,$A151)</f>
        <v/>
      </c>
      <c r="E151" s="9">
        <f>SUMIFS(Budget!$S:$S,Budget!$A:$A,$A151)</f>
        <v/>
      </c>
      <c r="F151" s="9">
        <f>SUMIFS(Budget!$T:$T,Budget!$A:$A,$A151)</f>
        <v/>
      </c>
      <c r="G151" s="9">
        <f>SUMIFS(Budget!$U:$U,Budget!$A:$A,$A151)</f>
        <v/>
      </c>
      <c r="H151" s="9">
        <f>SUMIFS(Budget!$V:$V,Budget!$A:$A,$A151)</f>
        <v/>
      </c>
      <c r="I151" s="9">
        <f>SUMIFS(Budget!$W:$W,Budget!$A:$A,$A151)</f>
        <v/>
      </c>
      <c r="J151" s="9">
        <f>SUMIFS(Budget!$X:$X,Budget!$A:$A,$A151)</f>
        <v/>
      </c>
      <c r="K151" s="9">
        <f>SUMIFS(Budget!$Y:$Y,Budget!$A:$A,$A151)</f>
        <v/>
      </c>
      <c r="L151" s="9">
        <f>SUMIFS(Budget!$Z:$Z,Budget!$A:$A,$A151)</f>
        <v/>
      </c>
      <c r="M151" s="9">
        <f>SUMIFS(Budget!$AA:$AA,Budget!$A:$A,$A151)</f>
        <v/>
      </c>
      <c r="N151" s="10">
        <f>SUM(B151:M151)</f>
        <v/>
      </c>
    </row>
    <row r="152">
      <c r="A152" s="5" t="inlineStr">
        <is>
          <t>Income Tax Expense</t>
        </is>
      </c>
      <c r="B152" s="9">
        <f>SUMIFS(Budget!$P:$P,Budget!$A:$A,$A152)</f>
        <v/>
      </c>
      <c r="C152" s="9">
        <f>SUMIFS(Budget!$Q:$Q,Budget!$A:$A,$A152)</f>
        <v/>
      </c>
      <c r="D152" s="9">
        <f>SUMIFS(Budget!$R:$R,Budget!$A:$A,$A152)</f>
        <v/>
      </c>
      <c r="E152" s="9">
        <f>SUMIFS(Budget!$S:$S,Budget!$A:$A,$A152)</f>
        <v/>
      </c>
      <c r="F152" s="9">
        <f>SUMIFS(Budget!$T:$T,Budget!$A:$A,$A152)</f>
        <v/>
      </c>
      <c r="G152" s="9">
        <f>SUMIFS(Budget!$U:$U,Budget!$A:$A,$A152)</f>
        <v/>
      </c>
      <c r="H152" s="9">
        <f>SUMIFS(Budget!$V:$V,Budget!$A:$A,$A152)</f>
        <v/>
      </c>
      <c r="I152" s="9">
        <f>SUMIFS(Budget!$W:$W,Budget!$A:$A,$A152)</f>
        <v/>
      </c>
      <c r="J152" s="9">
        <f>SUMIFS(Budget!$X:$X,Budget!$A:$A,$A152)</f>
        <v/>
      </c>
      <c r="K152" s="9">
        <f>SUMIFS(Budget!$Y:$Y,Budget!$A:$A,$A152)</f>
        <v/>
      </c>
      <c r="L152" s="9">
        <f>SUMIFS(Budget!$Z:$Z,Budget!$A:$A,$A152)</f>
        <v/>
      </c>
      <c r="M152" s="9">
        <f>SUMIFS(Budget!$AA:$AA,Budget!$A:$A,$A152)</f>
        <v/>
      </c>
      <c r="N152" s="10">
        <f>SUM(B152:M152)</f>
        <v/>
      </c>
    </row>
    <row r="153">
      <c r="A153" s="5" t="inlineStr">
        <is>
          <t>Indirect Salaries - ADMIN</t>
        </is>
      </c>
      <c r="B153" s="9">
        <f>SUMIFS(Budget!$P:$P,Budget!$A:$A,$A153)</f>
        <v/>
      </c>
      <c r="C153" s="9">
        <f>SUMIFS(Budget!$Q:$Q,Budget!$A:$A,$A153)</f>
        <v/>
      </c>
      <c r="D153" s="9">
        <f>SUMIFS(Budget!$R:$R,Budget!$A:$A,$A153)</f>
        <v/>
      </c>
      <c r="E153" s="9">
        <f>SUMIFS(Budget!$S:$S,Budget!$A:$A,$A153)</f>
        <v/>
      </c>
      <c r="F153" s="9">
        <f>SUMIFS(Budget!$T:$T,Budget!$A:$A,$A153)</f>
        <v/>
      </c>
      <c r="G153" s="9">
        <f>SUMIFS(Budget!$U:$U,Budget!$A:$A,$A153)</f>
        <v/>
      </c>
      <c r="H153" s="9">
        <f>SUMIFS(Budget!$V:$V,Budget!$A:$A,$A153)</f>
        <v/>
      </c>
      <c r="I153" s="9">
        <f>SUMIFS(Budget!$W:$W,Budget!$A:$A,$A153)</f>
        <v/>
      </c>
      <c r="J153" s="9">
        <f>SUMIFS(Budget!$X:$X,Budget!$A:$A,$A153)</f>
        <v/>
      </c>
      <c r="K153" s="9">
        <f>SUMIFS(Budget!$Y:$Y,Budget!$A:$A,$A153)</f>
        <v/>
      </c>
      <c r="L153" s="9">
        <f>SUMIFS(Budget!$Z:$Z,Budget!$A:$A,$A153)</f>
        <v/>
      </c>
      <c r="M153" s="9">
        <f>SUMIFS(Budget!$AA:$AA,Budget!$A:$A,$A153)</f>
        <v/>
      </c>
      <c r="N153" s="10">
        <f>SUM(B153:M153)</f>
        <v/>
      </c>
    </row>
    <row r="154">
      <c r="A154" s="5" t="inlineStr">
        <is>
          <t>Indirect Salaries - CONS</t>
        </is>
      </c>
      <c r="B154" s="9">
        <f>SUMIFS(Budget!$P:$P,Budget!$A:$A,$A154)</f>
        <v/>
      </c>
      <c r="C154" s="9">
        <f>SUMIFS(Budget!$Q:$Q,Budget!$A:$A,$A154)</f>
        <v/>
      </c>
      <c r="D154" s="9">
        <f>SUMIFS(Budget!$R:$R,Budget!$A:$A,$A154)</f>
        <v/>
      </c>
      <c r="E154" s="9">
        <f>SUMIFS(Budget!$S:$S,Budget!$A:$A,$A154)</f>
        <v/>
      </c>
      <c r="F154" s="9">
        <f>SUMIFS(Budget!$T:$T,Budget!$A:$A,$A154)</f>
        <v/>
      </c>
      <c r="G154" s="9">
        <f>SUMIFS(Budget!$U:$U,Budget!$A:$A,$A154)</f>
        <v/>
      </c>
      <c r="H154" s="9">
        <f>SUMIFS(Budget!$V:$V,Budget!$A:$A,$A154)</f>
        <v/>
      </c>
      <c r="I154" s="9">
        <f>SUMIFS(Budget!$W:$W,Budget!$A:$A,$A154)</f>
        <v/>
      </c>
      <c r="J154" s="9">
        <f>SUMIFS(Budget!$X:$X,Budget!$A:$A,$A154)</f>
        <v/>
      </c>
      <c r="K154" s="9">
        <f>SUMIFS(Budget!$Y:$Y,Budget!$A:$A,$A154)</f>
        <v/>
      </c>
      <c r="L154" s="9">
        <f>SUMIFS(Budget!$Z:$Z,Budget!$A:$A,$A154)</f>
        <v/>
      </c>
      <c r="M154" s="9">
        <f>SUMIFS(Budget!$AA:$AA,Budget!$A:$A,$A154)</f>
        <v/>
      </c>
      <c r="N154" s="10">
        <f>SUM(B154:M154)</f>
        <v/>
      </c>
    </row>
    <row r="155">
      <c r="A155" s="5" t="inlineStr">
        <is>
          <t>Indirect Salaries - INTEGRATION</t>
        </is>
      </c>
      <c r="B155" s="9">
        <f>SUMIFS(Budget!$P:$P,Budget!$A:$A,$A155)</f>
        <v/>
      </c>
      <c r="C155" s="9">
        <f>SUMIFS(Budget!$Q:$Q,Budget!$A:$A,$A155)</f>
        <v/>
      </c>
      <c r="D155" s="9">
        <f>SUMIFS(Budget!$R:$R,Budget!$A:$A,$A155)</f>
        <v/>
      </c>
      <c r="E155" s="9">
        <f>SUMIFS(Budget!$S:$S,Budget!$A:$A,$A155)</f>
        <v/>
      </c>
      <c r="F155" s="9">
        <f>SUMIFS(Budget!$T:$T,Budget!$A:$A,$A155)</f>
        <v/>
      </c>
      <c r="G155" s="9">
        <f>SUMIFS(Budget!$U:$U,Budget!$A:$A,$A155)</f>
        <v/>
      </c>
      <c r="H155" s="9">
        <f>SUMIFS(Budget!$V:$V,Budget!$A:$A,$A155)</f>
        <v/>
      </c>
      <c r="I155" s="9">
        <f>SUMIFS(Budget!$W:$W,Budget!$A:$A,$A155)</f>
        <v/>
      </c>
      <c r="J155" s="9">
        <f>SUMIFS(Budget!$X:$X,Budget!$A:$A,$A155)</f>
        <v/>
      </c>
      <c r="K155" s="9">
        <f>SUMIFS(Budget!$Y:$Y,Budget!$A:$A,$A155)</f>
        <v/>
      </c>
      <c r="L155" s="9">
        <f>SUMIFS(Budget!$Z:$Z,Budget!$A:$A,$A155)</f>
        <v/>
      </c>
      <c r="M155" s="9">
        <f>SUMIFS(Budget!$AA:$AA,Budget!$A:$A,$A155)</f>
        <v/>
      </c>
      <c r="N155" s="10">
        <f>SUM(B155:M155)</f>
        <v/>
      </c>
    </row>
    <row r="156">
      <c r="A156" s="5" t="inlineStr">
        <is>
          <t>Indirect Salaries - ONS</t>
        </is>
      </c>
      <c r="B156" s="9">
        <f>SUMIFS(Budget!$P:$P,Budget!$A:$A,$A156)</f>
        <v/>
      </c>
      <c r="C156" s="9">
        <f>SUMIFS(Budget!$Q:$Q,Budget!$A:$A,$A156)</f>
        <v/>
      </c>
      <c r="D156" s="9">
        <f>SUMIFS(Budget!$R:$R,Budget!$A:$A,$A156)</f>
        <v/>
      </c>
      <c r="E156" s="9">
        <f>SUMIFS(Budget!$S:$S,Budget!$A:$A,$A156)</f>
        <v/>
      </c>
      <c r="F156" s="9">
        <f>SUMIFS(Budget!$T:$T,Budget!$A:$A,$A156)</f>
        <v/>
      </c>
      <c r="G156" s="9">
        <f>SUMIFS(Budget!$U:$U,Budget!$A:$A,$A156)</f>
        <v/>
      </c>
      <c r="H156" s="9">
        <f>SUMIFS(Budget!$V:$V,Budget!$A:$A,$A156)</f>
        <v/>
      </c>
      <c r="I156" s="9">
        <f>SUMIFS(Budget!$W:$W,Budget!$A:$A,$A156)</f>
        <v/>
      </c>
      <c r="J156" s="9">
        <f>SUMIFS(Budget!$X:$X,Budget!$A:$A,$A156)</f>
        <v/>
      </c>
      <c r="K156" s="9">
        <f>SUMIFS(Budget!$Y:$Y,Budget!$A:$A,$A156)</f>
        <v/>
      </c>
      <c r="L156" s="9">
        <f>SUMIFS(Budget!$Z:$Z,Budget!$A:$A,$A156)</f>
        <v/>
      </c>
      <c r="M156" s="9">
        <f>SUMIFS(Budget!$AA:$AA,Budget!$A:$A,$A156)</f>
        <v/>
      </c>
      <c r="N156" s="10">
        <f>SUM(B156:M156)</f>
        <v/>
      </c>
    </row>
    <row r="157">
      <c r="A157" s="5" t="inlineStr">
        <is>
          <t>Indirect Salaries - PRD</t>
        </is>
      </c>
      <c r="B157" s="9">
        <f>SUMIFS(Budget!$P:$P,Budget!$A:$A,$A157)</f>
        <v/>
      </c>
      <c r="C157" s="9">
        <f>SUMIFS(Budget!$Q:$Q,Budget!$A:$A,$A157)</f>
        <v/>
      </c>
      <c r="D157" s="9">
        <f>SUMIFS(Budget!$R:$R,Budget!$A:$A,$A157)</f>
        <v/>
      </c>
      <c r="E157" s="9">
        <f>SUMIFS(Budget!$S:$S,Budget!$A:$A,$A157)</f>
        <v/>
      </c>
      <c r="F157" s="9">
        <f>SUMIFS(Budget!$T:$T,Budget!$A:$A,$A157)</f>
        <v/>
      </c>
      <c r="G157" s="9">
        <f>SUMIFS(Budget!$U:$U,Budget!$A:$A,$A157)</f>
        <v/>
      </c>
      <c r="H157" s="9">
        <f>SUMIFS(Budget!$V:$V,Budget!$A:$A,$A157)</f>
        <v/>
      </c>
      <c r="I157" s="9">
        <f>SUMIFS(Budget!$W:$W,Budget!$A:$A,$A157)</f>
        <v/>
      </c>
      <c r="J157" s="9">
        <f>SUMIFS(Budget!$X:$X,Budget!$A:$A,$A157)</f>
        <v/>
      </c>
      <c r="K157" s="9">
        <f>SUMIFS(Budget!$Y:$Y,Budget!$A:$A,$A157)</f>
        <v/>
      </c>
      <c r="L157" s="9">
        <f>SUMIFS(Budget!$Z:$Z,Budget!$A:$A,$A157)</f>
        <v/>
      </c>
      <c r="M157" s="9">
        <f>SUMIFS(Budget!$AA:$AA,Budget!$A:$A,$A157)</f>
        <v/>
      </c>
      <c r="N157" s="10">
        <f>SUM(B157:M157)</f>
        <v/>
      </c>
    </row>
    <row r="158">
      <c r="A158" s="5" t="inlineStr">
        <is>
          <t>Indirect Salaries - VID</t>
        </is>
      </c>
      <c r="B158" s="9">
        <f>SUMIFS(Budget!$P:$P,Budget!$A:$A,$A158)</f>
        <v/>
      </c>
      <c r="C158" s="9">
        <f>SUMIFS(Budget!$Q:$Q,Budget!$A:$A,$A158)</f>
        <v/>
      </c>
      <c r="D158" s="9">
        <f>SUMIFS(Budget!$R:$R,Budget!$A:$A,$A158)</f>
        <v/>
      </c>
      <c r="E158" s="9">
        <f>SUMIFS(Budget!$S:$S,Budget!$A:$A,$A158)</f>
        <v/>
      </c>
      <c r="F158" s="9">
        <f>SUMIFS(Budget!$T:$T,Budget!$A:$A,$A158)</f>
        <v/>
      </c>
      <c r="G158" s="9">
        <f>SUMIFS(Budget!$U:$U,Budget!$A:$A,$A158)</f>
        <v/>
      </c>
      <c r="H158" s="9">
        <f>SUMIFS(Budget!$V:$V,Budget!$A:$A,$A158)</f>
        <v/>
      </c>
      <c r="I158" s="9">
        <f>SUMIFS(Budget!$W:$W,Budget!$A:$A,$A158)</f>
        <v/>
      </c>
      <c r="J158" s="9">
        <f>SUMIFS(Budget!$X:$X,Budget!$A:$A,$A158)</f>
        <v/>
      </c>
      <c r="K158" s="9">
        <f>SUMIFS(Budget!$Y:$Y,Budget!$A:$A,$A158)</f>
        <v/>
      </c>
      <c r="L158" s="9">
        <f>SUMIFS(Budget!$Z:$Z,Budget!$A:$A,$A158)</f>
        <v/>
      </c>
      <c r="M158" s="9">
        <f>SUMIFS(Budget!$AA:$AA,Budget!$A:$A,$A158)</f>
        <v/>
      </c>
      <c r="N158" s="10">
        <f>SUM(B158:M158)</f>
        <v/>
      </c>
    </row>
    <row r="159">
      <c r="A159" s="5" t="inlineStr">
        <is>
          <t>Indirect Wages - ADMIN</t>
        </is>
      </c>
      <c r="B159" s="9">
        <f>SUMIFS(Budget!$P:$P,Budget!$A:$A,$A159)</f>
        <v/>
      </c>
      <c r="C159" s="9">
        <f>SUMIFS(Budget!$Q:$Q,Budget!$A:$A,$A159)</f>
        <v/>
      </c>
      <c r="D159" s="9">
        <f>SUMIFS(Budget!$R:$R,Budget!$A:$A,$A159)</f>
        <v/>
      </c>
      <c r="E159" s="9">
        <f>SUMIFS(Budget!$S:$S,Budget!$A:$A,$A159)</f>
        <v/>
      </c>
      <c r="F159" s="9">
        <f>SUMIFS(Budget!$T:$T,Budget!$A:$A,$A159)</f>
        <v/>
      </c>
      <c r="G159" s="9">
        <f>SUMIFS(Budget!$U:$U,Budget!$A:$A,$A159)</f>
        <v/>
      </c>
      <c r="H159" s="9">
        <f>SUMIFS(Budget!$V:$V,Budget!$A:$A,$A159)</f>
        <v/>
      </c>
      <c r="I159" s="9">
        <f>SUMIFS(Budget!$W:$W,Budget!$A:$A,$A159)</f>
        <v/>
      </c>
      <c r="J159" s="9">
        <f>SUMIFS(Budget!$X:$X,Budget!$A:$A,$A159)</f>
        <v/>
      </c>
      <c r="K159" s="9">
        <f>SUMIFS(Budget!$Y:$Y,Budget!$A:$A,$A159)</f>
        <v/>
      </c>
      <c r="L159" s="9">
        <f>SUMIFS(Budget!$Z:$Z,Budget!$A:$A,$A159)</f>
        <v/>
      </c>
      <c r="M159" s="9">
        <f>SUMIFS(Budget!$AA:$AA,Budget!$A:$A,$A159)</f>
        <v/>
      </c>
      <c r="N159" s="10">
        <f>SUM(B159:M159)</f>
        <v/>
      </c>
    </row>
    <row r="160">
      <c r="A160" s="5" t="inlineStr">
        <is>
          <t>Indirect Wages - CONS</t>
        </is>
      </c>
      <c r="B160" s="9">
        <f>SUMIFS(Budget!$P:$P,Budget!$A:$A,$A160)</f>
        <v/>
      </c>
      <c r="C160" s="9">
        <f>SUMIFS(Budget!$Q:$Q,Budget!$A:$A,$A160)</f>
        <v/>
      </c>
      <c r="D160" s="9">
        <f>SUMIFS(Budget!$R:$R,Budget!$A:$A,$A160)</f>
        <v/>
      </c>
      <c r="E160" s="9">
        <f>SUMIFS(Budget!$S:$S,Budget!$A:$A,$A160)</f>
        <v/>
      </c>
      <c r="F160" s="9">
        <f>SUMIFS(Budget!$T:$T,Budget!$A:$A,$A160)</f>
        <v/>
      </c>
      <c r="G160" s="9">
        <f>SUMIFS(Budget!$U:$U,Budget!$A:$A,$A160)</f>
        <v/>
      </c>
      <c r="H160" s="9">
        <f>SUMIFS(Budget!$V:$V,Budget!$A:$A,$A160)</f>
        <v/>
      </c>
      <c r="I160" s="9">
        <f>SUMIFS(Budget!$W:$W,Budget!$A:$A,$A160)</f>
        <v/>
      </c>
      <c r="J160" s="9">
        <f>SUMIFS(Budget!$X:$X,Budget!$A:$A,$A160)</f>
        <v/>
      </c>
      <c r="K160" s="9">
        <f>SUMIFS(Budget!$Y:$Y,Budget!$A:$A,$A160)</f>
        <v/>
      </c>
      <c r="L160" s="9">
        <f>SUMIFS(Budget!$Z:$Z,Budget!$A:$A,$A160)</f>
        <v/>
      </c>
      <c r="M160" s="9">
        <f>SUMIFS(Budget!$AA:$AA,Budget!$A:$A,$A160)</f>
        <v/>
      </c>
      <c r="N160" s="10">
        <f>SUM(B160:M160)</f>
        <v/>
      </c>
    </row>
    <row r="161">
      <c r="A161" s="5" t="inlineStr">
        <is>
          <t>Indirect Wages - INTEGRATION</t>
        </is>
      </c>
      <c r="B161" s="9">
        <f>SUMIFS(Budget!$P:$P,Budget!$A:$A,$A161)</f>
        <v/>
      </c>
      <c r="C161" s="9">
        <f>SUMIFS(Budget!$Q:$Q,Budget!$A:$A,$A161)</f>
        <v/>
      </c>
      <c r="D161" s="9">
        <f>SUMIFS(Budget!$R:$R,Budget!$A:$A,$A161)</f>
        <v/>
      </c>
      <c r="E161" s="9">
        <f>SUMIFS(Budget!$S:$S,Budget!$A:$A,$A161)</f>
        <v/>
      </c>
      <c r="F161" s="9">
        <f>SUMIFS(Budget!$T:$T,Budget!$A:$A,$A161)</f>
        <v/>
      </c>
      <c r="G161" s="9">
        <f>SUMIFS(Budget!$U:$U,Budget!$A:$A,$A161)</f>
        <v/>
      </c>
      <c r="H161" s="9">
        <f>SUMIFS(Budget!$V:$V,Budget!$A:$A,$A161)</f>
        <v/>
      </c>
      <c r="I161" s="9">
        <f>SUMIFS(Budget!$W:$W,Budget!$A:$A,$A161)</f>
        <v/>
      </c>
      <c r="J161" s="9">
        <f>SUMIFS(Budget!$X:$X,Budget!$A:$A,$A161)</f>
        <v/>
      </c>
      <c r="K161" s="9">
        <f>SUMIFS(Budget!$Y:$Y,Budget!$A:$A,$A161)</f>
        <v/>
      </c>
      <c r="L161" s="9">
        <f>SUMIFS(Budget!$Z:$Z,Budget!$A:$A,$A161)</f>
        <v/>
      </c>
      <c r="M161" s="9">
        <f>SUMIFS(Budget!$AA:$AA,Budget!$A:$A,$A161)</f>
        <v/>
      </c>
      <c r="N161" s="10">
        <f>SUM(B161:M161)</f>
        <v/>
      </c>
    </row>
    <row r="162">
      <c r="A162" s="5" t="inlineStr">
        <is>
          <t>Indirect Wages - ONS</t>
        </is>
      </c>
      <c r="B162" s="9">
        <f>SUMIFS(Budget!$P:$P,Budget!$A:$A,$A162)</f>
        <v/>
      </c>
      <c r="C162" s="9">
        <f>SUMIFS(Budget!$Q:$Q,Budget!$A:$A,$A162)</f>
        <v/>
      </c>
      <c r="D162" s="9">
        <f>SUMIFS(Budget!$R:$R,Budget!$A:$A,$A162)</f>
        <v/>
      </c>
      <c r="E162" s="9">
        <f>SUMIFS(Budget!$S:$S,Budget!$A:$A,$A162)</f>
        <v/>
      </c>
      <c r="F162" s="9">
        <f>SUMIFS(Budget!$T:$T,Budget!$A:$A,$A162)</f>
        <v/>
      </c>
      <c r="G162" s="9">
        <f>SUMIFS(Budget!$U:$U,Budget!$A:$A,$A162)</f>
        <v/>
      </c>
      <c r="H162" s="9">
        <f>SUMIFS(Budget!$V:$V,Budget!$A:$A,$A162)</f>
        <v/>
      </c>
      <c r="I162" s="9">
        <f>SUMIFS(Budget!$W:$W,Budget!$A:$A,$A162)</f>
        <v/>
      </c>
      <c r="J162" s="9">
        <f>SUMIFS(Budget!$X:$X,Budget!$A:$A,$A162)</f>
        <v/>
      </c>
      <c r="K162" s="9">
        <f>SUMIFS(Budget!$Y:$Y,Budget!$A:$A,$A162)</f>
        <v/>
      </c>
      <c r="L162" s="9">
        <f>SUMIFS(Budget!$Z:$Z,Budget!$A:$A,$A162)</f>
        <v/>
      </c>
      <c r="M162" s="9">
        <f>SUMIFS(Budget!$AA:$AA,Budget!$A:$A,$A162)</f>
        <v/>
      </c>
      <c r="N162" s="10">
        <f>SUM(B162:M162)</f>
        <v/>
      </c>
    </row>
    <row r="163">
      <c r="A163" s="5" t="inlineStr">
        <is>
          <t>Indirect Wages - PRD</t>
        </is>
      </c>
      <c r="B163" s="9">
        <f>SUMIFS(Budget!$P:$P,Budget!$A:$A,$A163)</f>
        <v/>
      </c>
      <c r="C163" s="9">
        <f>SUMIFS(Budget!$Q:$Q,Budget!$A:$A,$A163)</f>
        <v/>
      </c>
      <c r="D163" s="9">
        <f>SUMIFS(Budget!$R:$R,Budget!$A:$A,$A163)</f>
        <v/>
      </c>
      <c r="E163" s="9">
        <f>SUMIFS(Budget!$S:$S,Budget!$A:$A,$A163)</f>
        <v/>
      </c>
      <c r="F163" s="9">
        <f>SUMIFS(Budget!$T:$T,Budget!$A:$A,$A163)</f>
        <v/>
      </c>
      <c r="G163" s="9">
        <f>SUMIFS(Budget!$U:$U,Budget!$A:$A,$A163)</f>
        <v/>
      </c>
      <c r="H163" s="9">
        <f>SUMIFS(Budget!$V:$V,Budget!$A:$A,$A163)</f>
        <v/>
      </c>
      <c r="I163" s="9">
        <f>SUMIFS(Budget!$W:$W,Budget!$A:$A,$A163)</f>
        <v/>
      </c>
      <c r="J163" s="9">
        <f>SUMIFS(Budget!$X:$X,Budget!$A:$A,$A163)</f>
        <v/>
      </c>
      <c r="K163" s="9">
        <f>SUMIFS(Budget!$Y:$Y,Budget!$A:$A,$A163)</f>
        <v/>
      </c>
      <c r="L163" s="9">
        <f>SUMIFS(Budget!$Z:$Z,Budget!$A:$A,$A163)</f>
        <v/>
      </c>
      <c r="M163" s="9">
        <f>SUMIFS(Budget!$AA:$AA,Budget!$A:$A,$A163)</f>
        <v/>
      </c>
      <c r="N163" s="10">
        <f>SUM(B163:M163)</f>
        <v/>
      </c>
    </row>
    <row r="164">
      <c r="A164" s="5" t="inlineStr">
        <is>
          <t>Indirect Wages - VID</t>
        </is>
      </c>
      <c r="B164" s="9">
        <f>SUMIFS(Budget!$P:$P,Budget!$A:$A,$A164)</f>
        <v/>
      </c>
      <c r="C164" s="9">
        <f>SUMIFS(Budget!$Q:$Q,Budget!$A:$A,$A164)</f>
        <v/>
      </c>
      <c r="D164" s="9">
        <f>SUMIFS(Budget!$R:$R,Budget!$A:$A,$A164)</f>
        <v/>
      </c>
      <c r="E164" s="9">
        <f>SUMIFS(Budget!$S:$S,Budget!$A:$A,$A164)</f>
        <v/>
      </c>
      <c r="F164" s="9">
        <f>SUMIFS(Budget!$T:$T,Budget!$A:$A,$A164)</f>
        <v/>
      </c>
      <c r="G164" s="9">
        <f>SUMIFS(Budget!$U:$U,Budget!$A:$A,$A164)</f>
        <v/>
      </c>
      <c r="H164" s="9">
        <f>SUMIFS(Budget!$V:$V,Budget!$A:$A,$A164)</f>
        <v/>
      </c>
      <c r="I164" s="9">
        <f>SUMIFS(Budget!$W:$W,Budget!$A:$A,$A164)</f>
        <v/>
      </c>
      <c r="J164" s="9">
        <f>SUMIFS(Budget!$X:$X,Budget!$A:$A,$A164)</f>
        <v/>
      </c>
      <c r="K164" s="9">
        <f>SUMIFS(Budget!$Y:$Y,Budget!$A:$A,$A164)</f>
        <v/>
      </c>
      <c r="L164" s="9">
        <f>SUMIFS(Budget!$Z:$Z,Budget!$A:$A,$A164)</f>
        <v/>
      </c>
      <c r="M164" s="9">
        <f>SUMIFS(Budget!$AA:$AA,Budget!$A:$A,$A164)</f>
        <v/>
      </c>
      <c r="N164" s="10">
        <f>SUM(B164:M164)</f>
        <v/>
      </c>
    </row>
    <row r="165">
      <c r="A165" s="5" t="inlineStr">
        <is>
          <t>Instant Asset Write Off</t>
        </is>
      </c>
      <c r="B165" s="9">
        <f>SUMIFS(Budget!$P:$P,Budget!$A:$A,$A165)</f>
        <v/>
      </c>
      <c r="C165" s="9">
        <f>SUMIFS(Budget!$Q:$Q,Budget!$A:$A,$A165)</f>
        <v/>
      </c>
      <c r="D165" s="9">
        <f>SUMIFS(Budget!$R:$R,Budget!$A:$A,$A165)</f>
        <v/>
      </c>
      <c r="E165" s="9">
        <f>SUMIFS(Budget!$S:$S,Budget!$A:$A,$A165)</f>
        <v/>
      </c>
      <c r="F165" s="9">
        <f>SUMIFS(Budget!$T:$T,Budget!$A:$A,$A165)</f>
        <v/>
      </c>
      <c r="G165" s="9">
        <f>SUMIFS(Budget!$U:$U,Budget!$A:$A,$A165)</f>
        <v/>
      </c>
      <c r="H165" s="9">
        <f>SUMIFS(Budget!$V:$V,Budget!$A:$A,$A165)</f>
        <v/>
      </c>
      <c r="I165" s="9">
        <f>SUMIFS(Budget!$W:$W,Budget!$A:$A,$A165)</f>
        <v/>
      </c>
      <c r="J165" s="9">
        <f>SUMIFS(Budget!$X:$X,Budget!$A:$A,$A165)</f>
        <v/>
      </c>
      <c r="K165" s="9">
        <f>SUMIFS(Budget!$Y:$Y,Budget!$A:$A,$A165)</f>
        <v/>
      </c>
      <c r="L165" s="9">
        <f>SUMIFS(Budget!$Z:$Z,Budget!$A:$A,$A165)</f>
        <v/>
      </c>
      <c r="M165" s="9">
        <f>SUMIFS(Budget!$AA:$AA,Budget!$A:$A,$A165)</f>
        <v/>
      </c>
      <c r="N165" s="10">
        <f>SUM(B165:M165)</f>
        <v/>
      </c>
    </row>
    <row r="166">
      <c r="A166" s="5" t="inlineStr">
        <is>
          <t>Insurance</t>
        </is>
      </c>
      <c r="B166" s="9">
        <f>SUMIFS(Budget!$P:$P,Budget!$A:$A,$A166)</f>
        <v/>
      </c>
      <c r="C166" s="9">
        <f>SUMIFS(Budget!$Q:$Q,Budget!$A:$A,$A166)</f>
        <v/>
      </c>
      <c r="D166" s="9">
        <f>SUMIFS(Budget!$R:$R,Budget!$A:$A,$A166)</f>
        <v/>
      </c>
      <c r="E166" s="9">
        <f>SUMIFS(Budget!$S:$S,Budget!$A:$A,$A166)</f>
        <v/>
      </c>
      <c r="F166" s="9">
        <f>SUMIFS(Budget!$T:$T,Budget!$A:$A,$A166)</f>
        <v/>
      </c>
      <c r="G166" s="9">
        <f>SUMIFS(Budget!$U:$U,Budget!$A:$A,$A166)</f>
        <v/>
      </c>
      <c r="H166" s="9">
        <f>SUMIFS(Budget!$V:$V,Budget!$A:$A,$A166)</f>
        <v/>
      </c>
      <c r="I166" s="9">
        <f>SUMIFS(Budget!$W:$W,Budget!$A:$A,$A166)</f>
        <v/>
      </c>
      <c r="J166" s="9">
        <f>SUMIFS(Budget!$X:$X,Budget!$A:$A,$A166)</f>
        <v/>
      </c>
      <c r="K166" s="9">
        <f>SUMIFS(Budget!$Y:$Y,Budget!$A:$A,$A166)</f>
        <v/>
      </c>
      <c r="L166" s="9">
        <f>SUMIFS(Budget!$Z:$Z,Budget!$A:$A,$A166)</f>
        <v/>
      </c>
      <c r="M166" s="9">
        <f>SUMIFS(Budget!$AA:$AA,Budget!$A:$A,$A166)</f>
        <v/>
      </c>
      <c r="N166" s="10">
        <f>SUM(B166:M166)</f>
        <v/>
      </c>
    </row>
    <row r="167">
      <c r="A167" s="5" t="inlineStr">
        <is>
          <t>Interest Expense</t>
        </is>
      </c>
      <c r="B167" s="9">
        <f>SUMIFS(Budget!$P:$P,Budget!$A:$A,$A167)</f>
        <v/>
      </c>
      <c r="C167" s="9">
        <f>SUMIFS(Budget!$Q:$Q,Budget!$A:$A,$A167)</f>
        <v/>
      </c>
      <c r="D167" s="9">
        <f>SUMIFS(Budget!$R:$R,Budget!$A:$A,$A167)</f>
        <v/>
      </c>
      <c r="E167" s="9">
        <f>SUMIFS(Budget!$S:$S,Budget!$A:$A,$A167)</f>
        <v/>
      </c>
      <c r="F167" s="9">
        <f>SUMIFS(Budget!$T:$T,Budget!$A:$A,$A167)</f>
        <v/>
      </c>
      <c r="G167" s="9">
        <f>SUMIFS(Budget!$U:$U,Budget!$A:$A,$A167)</f>
        <v/>
      </c>
      <c r="H167" s="9">
        <f>SUMIFS(Budget!$V:$V,Budget!$A:$A,$A167)</f>
        <v/>
      </c>
      <c r="I167" s="9">
        <f>SUMIFS(Budget!$W:$W,Budget!$A:$A,$A167)</f>
        <v/>
      </c>
      <c r="J167" s="9">
        <f>SUMIFS(Budget!$X:$X,Budget!$A:$A,$A167)</f>
        <v/>
      </c>
      <c r="K167" s="9">
        <f>SUMIFS(Budget!$Y:$Y,Budget!$A:$A,$A167)</f>
        <v/>
      </c>
      <c r="L167" s="9">
        <f>SUMIFS(Budget!$Z:$Z,Budget!$A:$A,$A167)</f>
        <v/>
      </c>
      <c r="M167" s="9">
        <f>SUMIFS(Budget!$AA:$AA,Budget!$A:$A,$A167)</f>
        <v/>
      </c>
      <c r="N167" s="10">
        <f>SUM(B167:M167)</f>
        <v/>
      </c>
    </row>
    <row r="168">
      <c r="A168" s="5" t="inlineStr">
        <is>
          <t>Internet</t>
        </is>
      </c>
      <c r="B168" s="9">
        <f>SUMIFS(Budget!$P:$P,Budget!$A:$A,$A168)</f>
        <v/>
      </c>
      <c r="C168" s="9">
        <f>SUMIFS(Budget!$Q:$Q,Budget!$A:$A,$A168)</f>
        <v/>
      </c>
      <c r="D168" s="9">
        <f>SUMIFS(Budget!$R:$R,Budget!$A:$A,$A168)</f>
        <v/>
      </c>
      <c r="E168" s="9">
        <f>SUMIFS(Budget!$S:$S,Budget!$A:$A,$A168)</f>
        <v/>
      </c>
      <c r="F168" s="9">
        <f>SUMIFS(Budget!$T:$T,Budget!$A:$A,$A168)</f>
        <v/>
      </c>
      <c r="G168" s="9">
        <f>SUMIFS(Budget!$U:$U,Budget!$A:$A,$A168)</f>
        <v/>
      </c>
      <c r="H168" s="9">
        <f>SUMIFS(Budget!$V:$V,Budget!$A:$A,$A168)</f>
        <v/>
      </c>
      <c r="I168" s="9">
        <f>SUMIFS(Budget!$W:$W,Budget!$A:$A,$A168)</f>
        <v/>
      </c>
      <c r="J168" s="9">
        <f>SUMIFS(Budget!$X:$X,Budget!$A:$A,$A168)</f>
        <v/>
      </c>
      <c r="K168" s="9">
        <f>SUMIFS(Budget!$Y:$Y,Budget!$A:$A,$A168)</f>
        <v/>
      </c>
      <c r="L168" s="9">
        <f>SUMIFS(Budget!$Z:$Z,Budget!$A:$A,$A168)</f>
        <v/>
      </c>
      <c r="M168" s="9">
        <f>SUMIFS(Budget!$AA:$AA,Budget!$A:$A,$A168)</f>
        <v/>
      </c>
      <c r="N168" s="10">
        <f>SUM(B168:M168)</f>
        <v/>
      </c>
    </row>
    <row r="169">
      <c r="A169" s="5" t="inlineStr">
        <is>
          <t>Leave expense (Annual)</t>
        </is>
      </c>
      <c r="B169" s="9">
        <f>SUMIFS(Budget!$P:$P,Budget!$A:$A,$A169)</f>
        <v/>
      </c>
      <c r="C169" s="9">
        <f>SUMIFS(Budget!$Q:$Q,Budget!$A:$A,$A169)</f>
        <v/>
      </c>
      <c r="D169" s="9">
        <f>SUMIFS(Budget!$R:$R,Budget!$A:$A,$A169)</f>
        <v/>
      </c>
      <c r="E169" s="9">
        <f>SUMIFS(Budget!$S:$S,Budget!$A:$A,$A169)</f>
        <v/>
      </c>
      <c r="F169" s="9">
        <f>SUMIFS(Budget!$T:$T,Budget!$A:$A,$A169)</f>
        <v/>
      </c>
      <c r="G169" s="9">
        <f>SUMIFS(Budget!$U:$U,Budget!$A:$A,$A169)</f>
        <v/>
      </c>
      <c r="H169" s="9">
        <f>SUMIFS(Budget!$V:$V,Budget!$A:$A,$A169)</f>
        <v/>
      </c>
      <c r="I169" s="9">
        <f>SUMIFS(Budget!$W:$W,Budget!$A:$A,$A169)</f>
        <v/>
      </c>
      <c r="J169" s="9">
        <f>SUMIFS(Budget!$X:$X,Budget!$A:$A,$A169)</f>
        <v/>
      </c>
      <c r="K169" s="9">
        <f>SUMIFS(Budget!$Y:$Y,Budget!$A:$A,$A169)</f>
        <v/>
      </c>
      <c r="L169" s="9">
        <f>SUMIFS(Budget!$Z:$Z,Budget!$A:$A,$A169)</f>
        <v/>
      </c>
      <c r="M169" s="9">
        <f>SUMIFS(Budget!$AA:$AA,Budget!$A:$A,$A169)</f>
        <v/>
      </c>
      <c r="N169" s="10">
        <f>SUM(B169:M169)</f>
        <v/>
      </c>
    </row>
    <row r="170">
      <c r="A170" s="5" t="inlineStr">
        <is>
          <t>Leave expense (Long Service)</t>
        </is>
      </c>
      <c r="B170" s="9">
        <f>SUMIFS(Budget!$P:$P,Budget!$A:$A,$A170)</f>
        <v/>
      </c>
      <c r="C170" s="9">
        <f>SUMIFS(Budget!$Q:$Q,Budget!$A:$A,$A170)</f>
        <v/>
      </c>
      <c r="D170" s="9">
        <f>SUMIFS(Budget!$R:$R,Budget!$A:$A,$A170)</f>
        <v/>
      </c>
      <c r="E170" s="9">
        <f>SUMIFS(Budget!$S:$S,Budget!$A:$A,$A170)</f>
        <v/>
      </c>
      <c r="F170" s="9">
        <f>SUMIFS(Budget!$T:$T,Budget!$A:$A,$A170)</f>
        <v/>
      </c>
      <c r="G170" s="9">
        <f>SUMIFS(Budget!$U:$U,Budget!$A:$A,$A170)</f>
        <v/>
      </c>
      <c r="H170" s="9">
        <f>SUMIFS(Budget!$V:$V,Budget!$A:$A,$A170)</f>
        <v/>
      </c>
      <c r="I170" s="9">
        <f>SUMIFS(Budget!$W:$W,Budget!$A:$A,$A170)</f>
        <v/>
      </c>
      <c r="J170" s="9">
        <f>SUMIFS(Budget!$X:$X,Budget!$A:$A,$A170)</f>
        <v/>
      </c>
      <c r="K170" s="9">
        <f>SUMIFS(Budget!$Y:$Y,Budget!$A:$A,$A170)</f>
        <v/>
      </c>
      <c r="L170" s="9">
        <f>SUMIFS(Budget!$Z:$Z,Budget!$A:$A,$A170)</f>
        <v/>
      </c>
      <c r="M170" s="9">
        <f>SUMIFS(Budget!$AA:$AA,Budget!$A:$A,$A170)</f>
        <v/>
      </c>
      <c r="N170" s="10">
        <f>SUM(B170:M170)</f>
        <v/>
      </c>
    </row>
    <row r="171">
      <c r="A171" s="5" t="inlineStr">
        <is>
          <t>Legal Fees</t>
        </is>
      </c>
      <c r="B171" s="9">
        <f>SUMIFS(Budget!$P:$P,Budget!$A:$A,$A171)</f>
        <v/>
      </c>
      <c r="C171" s="9">
        <f>SUMIFS(Budget!$Q:$Q,Budget!$A:$A,$A171)</f>
        <v/>
      </c>
      <c r="D171" s="9">
        <f>SUMIFS(Budget!$R:$R,Budget!$A:$A,$A171)</f>
        <v/>
      </c>
      <c r="E171" s="9">
        <f>SUMIFS(Budget!$S:$S,Budget!$A:$A,$A171)</f>
        <v/>
      </c>
      <c r="F171" s="9">
        <f>SUMIFS(Budget!$T:$T,Budget!$A:$A,$A171)</f>
        <v/>
      </c>
      <c r="G171" s="9">
        <f>SUMIFS(Budget!$U:$U,Budget!$A:$A,$A171)</f>
        <v/>
      </c>
      <c r="H171" s="9">
        <f>SUMIFS(Budget!$V:$V,Budget!$A:$A,$A171)</f>
        <v/>
      </c>
      <c r="I171" s="9">
        <f>SUMIFS(Budget!$W:$W,Budget!$A:$A,$A171)</f>
        <v/>
      </c>
      <c r="J171" s="9">
        <f>SUMIFS(Budget!$X:$X,Budget!$A:$A,$A171)</f>
        <v/>
      </c>
      <c r="K171" s="9">
        <f>SUMIFS(Budget!$Y:$Y,Budget!$A:$A,$A171)</f>
        <v/>
      </c>
      <c r="L171" s="9">
        <f>SUMIFS(Budget!$Z:$Z,Budget!$A:$A,$A171)</f>
        <v/>
      </c>
      <c r="M171" s="9">
        <f>SUMIFS(Budget!$AA:$AA,Budget!$A:$A,$A171)</f>
        <v/>
      </c>
      <c r="N171" s="10">
        <f>SUM(B171:M171)</f>
        <v/>
      </c>
    </row>
    <row r="172">
      <c r="A172" s="5" t="inlineStr">
        <is>
          <t>Mobile Phones</t>
        </is>
      </c>
      <c r="B172" s="9">
        <f>SUMIFS(Budget!$P:$P,Budget!$A:$A,$A172)</f>
        <v/>
      </c>
      <c r="C172" s="9">
        <f>SUMIFS(Budget!$Q:$Q,Budget!$A:$A,$A172)</f>
        <v/>
      </c>
      <c r="D172" s="9">
        <f>SUMIFS(Budget!$R:$R,Budget!$A:$A,$A172)</f>
        <v/>
      </c>
      <c r="E172" s="9">
        <f>SUMIFS(Budget!$S:$S,Budget!$A:$A,$A172)</f>
        <v/>
      </c>
      <c r="F172" s="9">
        <f>SUMIFS(Budget!$T:$T,Budget!$A:$A,$A172)</f>
        <v/>
      </c>
      <c r="G172" s="9">
        <f>SUMIFS(Budget!$U:$U,Budget!$A:$A,$A172)</f>
        <v/>
      </c>
      <c r="H172" s="9">
        <f>SUMIFS(Budget!$V:$V,Budget!$A:$A,$A172)</f>
        <v/>
      </c>
      <c r="I172" s="9">
        <f>SUMIFS(Budget!$W:$W,Budget!$A:$A,$A172)</f>
        <v/>
      </c>
      <c r="J172" s="9">
        <f>SUMIFS(Budget!$X:$X,Budget!$A:$A,$A172)</f>
        <v/>
      </c>
      <c r="K172" s="9">
        <f>SUMIFS(Budget!$Y:$Y,Budget!$A:$A,$A172)</f>
        <v/>
      </c>
      <c r="L172" s="9">
        <f>SUMIFS(Budget!$Z:$Z,Budget!$A:$A,$A172)</f>
        <v/>
      </c>
      <c r="M172" s="9">
        <f>SUMIFS(Budget!$AA:$AA,Budget!$A:$A,$A172)</f>
        <v/>
      </c>
      <c r="N172" s="10">
        <f>SUM(B172:M172)</f>
        <v/>
      </c>
    </row>
    <row r="173">
      <c r="A173" s="5" t="inlineStr">
        <is>
          <t>Office Cleaning</t>
        </is>
      </c>
      <c r="B173" s="9">
        <f>SUMIFS(Budget!$P:$P,Budget!$A:$A,$A173)</f>
        <v/>
      </c>
      <c r="C173" s="9">
        <f>SUMIFS(Budget!$Q:$Q,Budget!$A:$A,$A173)</f>
        <v/>
      </c>
      <c r="D173" s="9">
        <f>SUMIFS(Budget!$R:$R,Budget!$A:$A,$A173)</f>
        <v/>
      </c>
      <c r="E173" s="9">
        <f>SUMIFS(Budget!$S:$S,Budget!$A:$A,$A173)</f>
        <v/>
      </c>
      <c r="F173" s="9">
        <f>SUMIFS(Budget!$T:$T,Budget!$A:$A,$A173)</f>
        <v/>
      </c>
      <c r="G173" s="9">
        <f>SUMIFS(Budget!$U:$U,Budget!$A:$A,$A173)</f>
        <v/>
      </c>
      <c r="H173" s="9">
        <f>SUMIFS(Budget!$V:$V,Budget!$A:$A,$A173)</f>
        <v/>
      </c>
      <c r="I173" s="9">
        <f>SUMIFS(Budget!$W:$W,Budget!$A:$A,$A173)</f>
        <v/>
      </c>
      <c r="J173" s="9">
        <f>SUMIFS(Budget!$X:$X,Budget!$A:$A,$A173)</f>
        <v/>
      </c>
      <c r="K173" s="9">
        <f>SUMIFS(Budget!$Y:$Y,Budget!$A:$A,$A173)</f>
        <v/>
      </c>
      <c r="L173" s="9">
        <f>SUMIFS(Budget!$Z:$Z,Budget!$A:$A,$A173)</f>
        <v/>
      </c>
      <c r="M173" s="9">
        <f>SUMIFS(Budget!$AA:$AA,Budget!$A:$A,$A173)</f>
        <v/>
      </c>
      <c r="N173" s="10">
        <f>SUM(B173:M173)</f>
        <v/>
      </c>
    </row>
    <row r="174">
      <c r="A174" s="5" t="inlineStr">
        <is>
          <t>Office Phones</t>
        </is>
      </c>
      <c r="B174" s="9">
        <f>SUMIFS(Budget!$P:$P,Budget!$A:$A,$A174)</f>
        <v/>
      </c>
      <c r="C174" s="9">
        <f>SUMIFS(Budget!$Q:$Q,Budget!$A:$A,$A174)</f>
        <v/>
      </c>
      <c r="D174" s="9">
        <f>SUMIFS(Budget!$R:$R,Budget!$A:$A,$A174)</f>
        <v/>
      </c>
      <c r="E174" s="9">
        <f>SUMIFS(Budget!$S:$S,Budget!$A:$A,$A174)</f>
        <v/>
      </c>
      <c r="F174" s="9">
        <f>SUMIFS(Budget!$T:$T,Budget!$A:$A,$A174)</f>
        <v/>
      </c>
      <c r="G174" s="9">
        <f>SUMIFS(Budget!$U:$U,Budget!$A:$A,$A174)</f>
        <v/>
      </c>
      <c r="H174" s="9">
        <f>SUMIFS(Budget!$V:$V,Budget!$A:$A,$A174)</f>
        <v/>
      </c>
      <c r="I174" s="9">
        <f>SUMIFS(Budget!$W:$W,Budget!$A:$A,$A174)</f>
        <v/>
      </c>
      <c r="J174" s="9">
        <f>SUMIFS(Budget!$X:$X,Budget!$A:$A,$A174)</f>
        <v/>
      </c>
      <c r="K174" s="9">
        <f>SUMIFS(Budget!$Y:$Y,Budget!$A:$A,$A174)</f>
        <v/>
      </c>
      <c r="L174" s="9">
        <f>SUMIFS(Budget!$Z:$Z,Budget!$A:$A,$A174)</f>
        <v/>
      </c>
      <c r="M174" s="9">
        <f>SUMIFS(Budget!$AA:$AA,Budget!$A:$A,$A174)</f>
        <v/>
      </c>
      <c r="N174" s="10">
        <f>SUM(B174:M174)</f>
        <v/>
      </c>
    </row>
    <row r="175">
      <c r="A175" s="5" t="inlineStr">
        <is>
          <t>Office Rentals</t>
        </is>
      </c>
      <c r="B175" s="9">
        <f>SUMIFS(Budget!$P:$P,Budget!$A:$A,$A175)</f>
        <v/>
      </c>
      <c r="C175" s="9">
        <f>SUMIFS(Budget!$Q:$Q,Budget!$A:$A,$A175)</f>
        <v/>
      </c>
      <c r="D175" s="9">
        <f>SUMIFS(Budget!$R:$R,Budget!$A:$A,$A175)</f>
        <v/>
      </c>
      <c r="E175" s="9">
        <f>SUMIFS(Budget!$S:$S,Budget!$A:$A,$A175)</f>
        <v/>
      </c>
      <c r="F175" s="9">
        <f>SUMIFS(Budget!$T:$T,Budget!$A:$A,$A175)</f>
        <v/>
      </c>
      <c r="G175" s="9">
        <f>SUMIFS(Budget!$U:$U,Budget!$A:$A,$A175)</f>
        <v/>
      </c>
      <c r="H175" s="9">
        <f>SUMIFS(Budget!$V:$V,Budget!$A:$A,$A175)</f>
        <v/>
      </c>
      <c r="I175" s="9">
        <f>SUMIFS(Budget!$W:$W,Budget!$A:$A,$A175)</f>
        <v/>
      </c>
      <c r="J175" s="9">
        <f>SUMIFS(Budget!$X:$X,Budget!$A:$A,$A175)</f>
        <v/>
      </c>
      <c r="K175" s="9">
        <f>SUMIFS(Budget!$Y:$Y,Budget!$A:$A,$A175)</f>
        <v/>
      </c>
      <c r="L175" s="9">
        <f>SUMIFS(Budget!$Z:$Z,Budget!$A:$A,$A175)</f>
        <v/>
      </c>
      <c r="M175" s="9">
        <f>SUMIFS(Budget!$AA:$AA,Budget!$A:$A,$A175)</f>
        <v/>
      </c>
      <c r="N175" s="10">
        <f>SUM(B175:M175)</f>
        <v/>
      </c>
    </row>
    <row r="176">
      <c r="A176" s="5" t="inlineStr">
        <is>
          <t>Office Supplies</t>
        </is>
      </c>
      <c r="B176" s="9">
        <f>SUMIFS(Budget!$P:$P,Budget!$A:$A,$A176)</f>
        <v/>
      </c>
      <c r="C176" s="9">
        <f>SUMIFS(Budget!$Q:$Q,Budget!$A:$A,$A176)</f>
        <v/>
      </c>
      <c r="D176" s="9">
        <f>SUMIFS(Budget!$R:$R,Budget!$A:$A,$A176)</f>
        <v/>
      </c>
      <c r="E176" s="9">
        <f>SUMIFS(Budget!$S:$S,Budget!$A:$A,$A176)</f>
        <v/>
      </c>
      <c r="F176" s="9">
        <f>SUMIFS(Budget!$T:$T,Budget!$A:$A,$A176)</f>
        <v/>
      </c>
      <c r="G176" s="9">
        <f>SUMIFS(Budget!$U:$U,Budget!$A:$A,$A176)</f>
        <v/>
      </c>
      <c r="H176" s="9">
        <f>SUMIFS(Budget!$V:$V,Budget!$A:$A,$A176)</f>
        <v/>
      </c>
      <c r="I176" s="9">
        <f>SUMIFS(Budget!$W:$W,Budget!$A:$A,$A176)</f>
        <v/>
      </c>
      <c r="J176" s="9">
        <f>SUMIFS(Budget!$X:$X,Budget!$A:$A,$A176)</f>
        <v/>
      </c>
      <c r="K176" s="9">
        <f>SUMIFS(Budget!$Y:$Y,Budget!$A:$A,$A176)</f>
        <v/>
      </c>
      <c r="L176" s="9">
        <f>SUMIFS(Budget!$Z:$Z,Budget!$A:$A,$A176)</f>
        <v/>
      </c>
      <c r="M176" s="9">
        <f>SUMIFS(Budget!$AA:$AA,Budget!$A:$A,$A176)</f>
        <v/>
      </c>
      <c r="N176" s="10">
        <f>SUM(B176:M176)</f>
        <v/>
      </c>
    </row>
    <row r="177">
      <c r="A177" s="5" t="inlineStr">
        <is>
          <t>Office Supplies [61500]</t>
        </is>
      </c>
      <c r="B177" s="9">
        <f>SUMIFS(Budget!$P:$P,Budget!$A:$A,$A177)</f>
        <v/>
      </c>
      <c r="C177" s="9">
        <f>SUMIFS(Budget!$Q:$Q,Budget!$A:$A,$A177)</f>
        <v/>
      </c>
      <c r="D177" s="9">
        <f>SUMIFS(Budget!$R:$R,Budget!$A:$A,$A177)</f>
        <v/>
      </c>
      <c r="E177" s="9">
        <f>SUMIFS(Budget!$S:$S,Budget!$A:$A,$A177)</f>
        <v/>
      </c>
      <c r="F177" s="9">
        <f>SUMIFS(Budget!$T:$T,Budget!$A:$A,$A177)</f>
        <v/>
      </c>
      <c r="G177" s="9">
        <f>SUMIFS(Budget!$U:$U,Budget!$A:$A,$A177)</f>
        <v/>
      </c>
      <c r="H177" s="9">
        <f>SUMIFS(Budget!$V:$V,Budget!$A:$A,$A177)</f>
        <v/>
      </c>
      <c r="I177" s="9">
        <f>SUMIFS(Budget!$W:$W,Budget!$A:$A,$A177)</f>
        <v/>
      </c>
      <c r="J177" s="9">
        <f>SUMIFS(Budget!$X:$X,Budget!$A:$A,$A177)</f>
        <v/>
      </c>
      <c r="K177" s="9">
        <f>SUMIFS(Budget!$Y:$Y,Budget!$A:$A,$A177)</f>
        <v/>
      </c>
      <c r="L177" s="9">
        <f>SUMIFS(Budget!$Z:$Z,Budget!$A:$A,$A177)</f>
        <v/>
      </c>
      <c r="M177" s="9">
        <f>SUMIFS(Budget!$AA:$AA,Budget!$A:$A,$A177)</f>
        <v/>
      </c>
      <c r="N177" s="10">
        <f>SUM(B177:M177)</f>
        <v/>
      </c>
    </row>
    <row r="178">
      <c r="A178" s="5" t="inlineStr">
        <is>
          <t>Other Expenses [64900]</t>
        </is>
      </c>
      <c r="B178" s="9">
        <f>SUMIFS(Budget!$P:$P,Budget!$A:$A,$A178)</f>
        <v/>
      </c>
      <c r="C178" s="9">
        <f>SUMIFS(Budget!$Q:$Q,Budget!$A:$A,$A178)</f>
        <v/>
      </c>
      <c r="D178" s="9">
        <f>SUMIFS(Budget!$R:$R,Budget!$A:$A,$A178)</f>
        <v/>
      </c>
      <c r="E178" s="9">
        <f>SUMIFS(Budget!$S:$S,Budget!$A:$A,$A178)</f>
        <v/>
      </c>
      <c r="F178" s="9">
        <f>SUMIFS(Budget!$T:$T,Budget!$A:$A,$A178)</f>
        <v/>
      </c>
      <c r="G178" s="9">
        <f>SUMIFS(Budget!$U:$U,Budget!$A:$A,$A178)</f>
        <v/>
      </c>
      <c r="H178" s="9">
        <f>SUMIFS(Budget!$V:$V,Budget!$A:$A,$A178)</f>
        <v/>
      </c>
      <c r="I178" s="9">
        <f>SUMIFS(Budget!$W:$W,Budget!$A:$A,$A178)</f>
        <v/>
      </c>
      <c r="J178" s="9">
        <f>SUMIFS(Budget!$X:$X,Budget!$A:$A,$A178)</f>
        <v/>
      </c>
      <c r="K178" s="9">
        <f>SUMIFS(Budget!$Y:$Y,Budget!$A:$A,$A178)</f>
        <v/>
      </c>
      <c r="L178" s="9">
        <f>SUMIFS(Budget!$Z:$Z,Budget!$A:$A,$A178)</f>
        <v/>
      </c>
      <c r="M178" s="9">
        <f>SUMIFS(Budget!$AA:$AA,Budget!$A:$A,$A178)</f>
        <v/>
      </c>
      <c r="N178" s="10">
        <f>SUM(B178:M178)</f>
        <v/>
      </c>
    </row>
    <row r="179">
      <c r="A179" s="5" t="inlineStr">
        <is>
          <t>Other Insurance</t>
        </is>
      </c>
      <c r="B179" s="9">
        <f>SUMIFS(Budget!$P:$P,Budget!$A:$A,$A179)</f>
        <v/>
      </c>
      <c r="C179" s="9">
        <f>SUMIFS(Budget!$Q:$Q,Budget!$A:$A,$A179)</f>
        <v/>
      </c>
      <c r="D179" s="9">
        <f>SUMIFS(Budget!$R:$R,Budget!$A:$A,$A179)</f>
        <v/>
      </c>
      <c r="E179" s="9">
        <f>SUMIFS(Budget!$S:$S,Budget!$A:$A,$A179)</f>
        <v/>
      </c>
      <c r="F179" s="9">
        <f>SUMIFS(Budget!$T:$T,Budget!$A:$A,$A179)</f>
        <v/>
      </c>
      <c r="G179" s="9">
        <f>SUMIFS(Budget!$U:$U,Budget!$A:$A,$A179)</f>
        <v/>
      </c>
      <c r="H179" s="9">
        <f>SUMIFS(Budget!$V:$V,Budget!$A:$A,$A179)</f>
        <v/>
      </c>
      <c r="I179" s="9">
        <f>SUMIFS(Budget!$W:$W,Budget!$A:$A,$A179)</f>
        <v/>
      </c>
      <c r="J179" s="9">
        <f>SUMIFS(Budget!$X:$X,Budget!$A:$A,$A179)</f>
        <v/>
      </c>
      <c r="K179" s="9">
        <f>SUMIFS(Budget!$Y:$Y,Budget!$A:$A,$A179)</f>
        <v/>
      </c>
      <c r="L179" s="9">
        <f>SUMIFS(Budget!$Z:$Z,Budget!$A:$A,$A179)</f>
        <v/>
      </c>
      <c r="M179" s="9">
        <f>SUMIFS(Budget!$AA:$AA,Budget!$A:$A,$A179)</f>
        <v/>
      </c>
      <c r="N179" s="10">
        <f>SUM(B179:M179)</f>
        <v/>
      </c>
    </row>
    <row r="180">
      <c r="A180" s="5" t="inlineStr">
        <is>
          <t>Other Telco Expenses</t>
        </is>
      </c>
      <c r="B180" s="9">
        <f>SUMIFS(Budget!$P:$P,Budget!$A:$A,$A180)</f>
        <v/>
      </c>
      <c r="C180" s="9">
        <f>SUMIFS(Budget!$Q:$Q,Budget!$A:$A,$A180)</f>
        <v/>
      </c>
      <c r="D180" s="9">
        <f>SUMIFS(Budget!$R:$R,Budget!$A:$A,$A180)</f>
        <v/>
      </c>
      <c r="E180" s="9">
        <f>SUMIFS(Budget!$S:$S,Budget!$A:$A,$A180)</f>
        <v/>
      </c>
      <c r="F180" s="9">
        <f>SUMIFS(Budget!$T:$T,Budget!$A:$A,$A180)</f>
        <v/>
      </c>
      <c r="G180" s="9">
        <f>SUMIFS(Budget!$U:$U,Budget!$A:$A,$A180)</f>
        <v/>
      </c>
      <c r="H180" s="9">
        <f>SUMIFS(Budget!$V:$V,Budget!$A:$A,$A180)</f>
        <v/>
      </c>
      <c r="I180" s="9">
        <f>SUMIFS(Budget!$W:$W,Budget!$A:$A,$A180)</f>
        <v/>
      </c>
      <c r="J180" s="9">
        <f>SUMIFS(Budget!$X:$X,Budget!$A:$A,$A180)</f>
        <v/>
      </c>
      <c r="K180" s="9">
        <f>SUMIFS(Budget!$Y:$Y,Budget!$A:$A,$A180)</f>
        <v/>
      </c>
      <c r="L180" s="9">
        <f>SUMIFS(Budget!$Z:$Z,Budget!$A:$A,$A180)</f>
        <v/>
      </c>
      <c r="M180" s="9">
        <f>SUMIFS(Budget!$AA:$AA,Budget!$A:$A,$A180)</f>
        <v/>
      </c>
      <c r="N180" s="10">
        <f>SUM(B180:M180)</f>
        <v/>
      </c>
    </row>
    <row r="181">
      <c r="A181" s="5" t="inlineStr">
        <is>
          <t>Pager</t>
        </is>
      </c>
      <c r="B181" s="9">
        <f>SUMIFS(Budget!$P:$P,Budget!$A:$A,$A181)</f>
        <v/>
      </c>
      <c r="C181" s="9">
        <f>SUMIFS(Budget!$Q:$Q,Budget!$A:$A,$A181)</f>
        <v/>
      </c>
      <c r="D181" s="9">
        <f>SUMIFS(Budget!$R:$R,Budget!$A:$A,$A181)</f>
        <v/>
      </c>
      <c r="E181" s="9">
        <f>SUMIFS(Budget!$S:$S,Budget!$A:$A,$A181)</f>
        <v/>
      </c>
      <c r="F181" s="9">
        <f>SUMIFS(Budget!$T:$T,Budget!$A:$A,$A181)</f>
        <v/>
      </c>
      <c r="G181" s="9">
        <f>SUMIFS(Budget!$U:$U,Budget!$A:$A,$A181)</f>
        <v/>
      </c>
      <c r="H181" s="9">
        <f>SUMIFS(Budget!$V:$V,Budget!$A:$A,$A181)</f>
        <v/>
      </c>
      <c r="I181" s="9">
        <f>SUMIFS(Budget!$W:$W,Budget!$A:$A,$A181)</f>
        <v/>
      </c>
      <c r="J181" s="9">
        <f>SUMIFS(Budget!$X:$X,Budget!$A:$A,$A181)</f>
        <v/>
      </c>
      <c r="K181" s="9">
        <f>SUMIFS(Budget!$Y:$Y,Budget!$A:$A,$A181)</f>
        <v/>
      </c>
      <c r="L181" s="9">
        <f>SUMIFS(Budget!$Z:$Z,Budget!$A:$A,$A181)</f>
        <v/>
      </c>
      <c r="M181" s="9">
        <f>SUMIFS(Budget!$AA:$AA,Budget!$A:$A,$A181)</f>
        <v/>
      </c>
      <c r="N181" s="10">
        <f>SUM(B181:M181)</f>
        <v/>
      </c>
    </row>
    <row r="182">
      <c r="A182" s="5" t="inlineStr">
        <is>
          <t>Payroll Processing Fee</t>
        </is>
      </c>
      <c r="B182" s="9">
        <f>SUMIFS(Budget!$P:$P,Budget!$A:$A,$A182)</f>
        <v/>
      </c>
      <c r="C182" s="9">
        <f>SUMIFS(Budget!$Q:$Q,Budget!$A:$A,$A182)</f>
        <v/>
      </c>
      <c r="D182" s="9">
        <f>SUMIFS(Budget!$R:$R,Budget!$A:$A,$A182)</f>
        <v/>
      </c>
      <c r="E182" s="9">
        <f>SUMIFS(Budget!$S:$S,Budget!$A:$A,$A182)</f>
        <v/>
      </c>
      <c r="F182" s="9">
        <f>SUMIFS(Budget!$T:$T,Budget!$A:$A,$A182)</f>
        <v/>
      </c>
      <c r="G182" s="9">
        <f>SUMIFS(Budget!$U:$U,Budget!$A:$A,$A182)</f>
        <v/>
      </c>
      <c r="H182" s="9">
        <f>SUMIFS(Budget!$V:$V,Budget!$A:$A,$A182)</f>
        <v/>
      </c>
      <c r="I182" s="9">
        <f>SUMIFS(Budget!$W:$W,Budget!$A:$A,$A182)</f>
        <v/>
      </c>
      <c r="J182" s="9">
        <f>SUMIFS(Budget!$X:$X,Budget!$A:$A,$A182)</f>
        <v/>
      </c>
      <c r="K182" s="9">
        <f>SUMIFS(Budget!$Y:$Y,Budget!$A:$A,$A182)</f>
        <v/>
      </c>
      <c r="L182" s="9">
        <f>SUMIFS(Budget!$Z:$Z,Budget!$A:$A,$A182)</f>
        <v/>
      </c>
      <c r="M182" s="9">
        <f>SUMIFS(Budget!$AA:$AA,Budget!$A:$A,$A182)</f>
        <v/>
      </c>
      <c r="N182" s="10">
        <f>SUM(B182:M182)</f>
        <v/>
      </c>
    </row>
    <row r="183">
      <c r="A183" s="5" t="inlineStr">
        <is>
          <t>Payroll Tax</t>
        </is>
      </c>
      <c r="B183" s="9">
        <f>SUMIFS(Budget!$P:$P,Budget!$A:$A,$A183)</f>
        <v/>
      </c>
      <c r="C183" s="9">
        <f>SUMIFS(Budget!$Q:$Q,Budget!$A:$A,$A183)</f>
        <v/>
      </c>
      <c r="D183" s="9">
        <f>SUMIFS(Budget!$R:$R,Budget!$A:$A,$A183)</f>
        <v/>
      </c>
      <c r="E183" s="9">
        <f>SUMIFS(Budget!$S:$S,Budget!$A:$A,$A183)</f>
        <v/>
      </c>
      <c r="F183" s="9">
        <f>SUMIFS(Budget!$T:$T,Budget!$A:$A,$A183)</f>
        <v/>
      </c>
      <c r="G183" s="9">
        <f>SUMIFS(Budget!$U:$U,Budget!$A:$A,$A183)</f>
        <v/>
      </c>
      <c r="H183" s="9">
        <f>SUMIFS(Budget!$V:$V,Budget!$A:$A,$A183)</f>
        <v/>
      </c>
      <c r="I183" s="9">
        <f>SUMIFS(Budget!$W:$W,Budget!$A:$A,$A183)</f>
        <v/>
      </c>
      <c r="J183" s="9">
        <f>SUMIFS(Budget!$X:$X,Budget!$A:$A,$A183)</f>
        <v/>
      </c>
      <c r="K183" s="9">
        <f>SUMIFS(Budget!$Y:$Y,Budget!$A:$A,$A183)</f>
        <v/>
      </c>
      <c r="L183" s="9">
        <f>SUMIFS(Budget!$Z:$Z,Budget!$A:$A,$A183)</f>
        <v/>
      </c>
      <c r="M183" s="9">
        <f>SUMIFS(Budget!$AA:$AA,Budget!$A:$A,$A183)</f>
        <v/>
      </c>
      <c r="N183" s="10">
        <f>SUM(B183:M183)</f>
        <v/>
      </c>
    </row>
    <row r="184">
      <c r="A184" s="5" t="inlineStr">
        <is>
          <t>Postage</t>
        </is>
      </c>
      <c r="B184" s="9">
        <f>SUMIFS(Budget!$P:$P,Budget!$A:$A,$A184)</f>
        <v/>
      </c>
      <c r="C184" s="9">
        <f>SUMIFS(Budget!$Q:$Q,Budget!$A:$A,$A184)</f>
        <v/>
      </c>
      <c r="D184" s="9">
        <f>SUMIFS(Budget!$R:$R,Budget!$A:$A,$A184)</f>
        <v/>
      </c>
      <c r="E184" s="9">
        <f>SUMIFS(Budget!$S:$S,Budget!$A:$A,$A184)</f>
        <v/>
      </c>
      <c r="F184" s="9">
        <f>SUMIFS(Budget!$T:$T,Budget!$A:$A,$A184)</f>
        <v/>
      </c>
      <c r="G184" s="9">
        <f>SUMIFS(Budget!$U:$U,Budget!$A:$A,$A184)</f>
        <v/>
      </c>
      <c r="H184" s="9">
        <f>SUMIFS(Budget!$V:$V,Budget!$A:$A,$A184)</f>
        <v/>
      </c>
      <c r="I184" s="9">
        <f>SUMIFS(Budget!$W:$W,Budget!$A:$A,$A184)</f>
        <v/>
      </c>
      <c r="J184" s="9">
        <f>SUMIFS(Budget!$X:$X,Budget!$A:$A,$A184)</f>
        <v/>
      </c>
      <c r="K184" s="9">
        <f>SUMIFS(Budget!$Y:$Y,Budget!$A:$A,$A184)</f>
        <v/>
      </c>
      <c r="L184" s="9">
        <f>SUMIFS(Budget!$Z:$Z,Budget!$A:$A,$A184)</f>
        <v/>
      </c>
      <c r="M184" s="9">
        <f>SUMIFS(Budget!$AA:$AA,Budget!$A:$A,$A184)</f>
        <v/>
      </c>
      <c r="N184" s="10">
        <f>SUM(B184:M184)</f>
        <v/>
      </c>
    </row>
    <row r="185">
      <c r="A185" s="5" t="inlineStr">
        <is>
          <t>Printing</t>
        </is>
      </c>
      <c r="B185" s="9">
        <f>SUMIFS(Budget!$P:$P,Budget!$A:$A,$A185)</f>
        <v/>
      </c>
      <c r="C185" s="9">
        <f>SUMIFS(Budget!$Q:$Q,Budget!$A:$A,$A185)</f>
        <v/>
      </c>
      <c r="D185" s="9">
        <f>SUMIFS(Budget!$R:$R,Budget!$A:$A,$A185)</f>
        <v/>
      </c>
      <c r="E185" s="9">
        <f>SUMIFS(Budget!$S:$S,Budget!$A:$A,$A185)</f>
        <v/>
      </c>
      <c r="F185" s="9">
        <f>SUMIFS(Budget!$T:$T,Budget!$A:$A,$A185)</f>
        <v/>
      </c>
      <c r="G185" s="9">
        <f>SUMIFS(Budget!$U:$U,Budget!$A:$A,$A185)</f>
        <v/>
      </c>
      <c r="H185" s="9">
        <f>SUMIFS(Budget!$V:$V,Budget!$A:$A,$A185)</f>
        <v/>
      </c>
      <c r="I185" s="9">
        <f>SUMIFS(Budget!$W:$W,Budget!$A:$A,$A185)</f>
        <v/>
      </c>
      <c r="J185" s="9">
        <f>SUMIFS(Budget!$X:$X,Budget!$A:$A,$A185)</f>
        <v/>
      </c>
      <c r="K185" s="9">
        <f>SUMIFS(Budget!$Y:$Y,Budget!$A:$A,$A185)</f>
        <v/>
      </c>
      <c r="L185" s="9">
        <f>SUMIFS(Budget!$Z:$Z,Budget!$A:$A,$A185)</f>
        <v/>
      </c>
      <c r="M185" s="9">
        <f>SUMIFS(Budget!$AA:$AA,Budget!$A:$A,$A185)</f>
        <v/>
      </c>
      <c r="N185" s="10">
        <f>SUM(B185:M185)</f>
        <v/>
      </c>
    </row>
    <row r="186">
      <c r="A186" s="5" t="inlineStr">
        <is>
          <t>Professional Indemnity</t>
        </is>
      </c>
      <c r="B186" s="9">
        <f>SUMIFS(Budget!$P:$P,Budget!$A:$A,$A186)</f>
        <v/>
      </c>
      <c r="C186" s="9">
        <f>SUMIFS(Budget!$Q:$Q,Budget!$A:$A,$A186)</f>
        <v/>
      </c>
      <c r="D186" s="9">
        <f>SUMIFS(Budget!$R:$R,Budget!$A:$A,$A186)</f>
        <v/>
      </c>
      <c r="E186" s="9">
        <f>SUMIFS(Budget!$S:$S,Budget!$A:$A,$A186)</f>
        <v/>
      </c>
      <c r="F186" s="9">
        <f>SUMIFS(Budget!$T:$T,Budget!$A:$A,$A186)</f>
        <v/>
      </c>
      <c r="G186" s="9">
        <f>SUMIFS(Budget!$U:$U,Budget!$A:$A,$A186)</f>
        <v/>
      </c>
      <c r="H186" s="9">
        <f>SUMIFS(Budget!$V:$V,Budget!$A:$A,$A186)</f>
        <v/>
      </c>
      <c r="I186" s="9">
        <f>SUMIFS(Budget!$W:$W,Budget!$A:$A,$A186)</f>
        <v/>
      </c>
      <c r="J186" s="9">
        <f>SUMIFS(Budget!$X:$X,Budget!$A:$A,$A186)</f>
        <v/>
      </c>
      <c r="K186" s="9">
        <f>SUMIFS(Budget!$Y:$Y,Budget!$A:$A,$A186)</f>
        <v/>
      </c>
      <c r="L186" s="9">
        <f>SUMIFS(Budget!$Z:$Z,Budget!$A:$A,$A186)</f>
        <v/>
      </c>
      <c r="M186" s="9">
        <f>SUMIFS(Budget!$AA:$AA,Budget!$A:$A,$A186)</f>
        <v/>
      </c>
      <c r="N186" s="10">
        <f>SUM(B186:M186)</f>
        <v/>
      </c>
    </row>
    <row r="187">
      <c r="A187" s="5" t="inlineStr">
        <is>
          <t>Realised Currency Gains</t>
        </is>
      </c>
      <c r="B187" s="9">
        <f>SUMIFS(Budget!$P:$P,Budget!$A:$A,$A187)</f>
        <v/>
      </c>
      <c r="C187" s="9">
        <f>SUMIFS(Budget!$Q:$Q,Budget!$A:$A,$A187)</f>
        <v/>
      </c>
      <c r="D187" s="9">
        <f>SUMIFS(Budget!$R:$R,Budget!$A:$A,$A187)</f>
        <v/>
      </c>
      <c r="E187" s="9">
        <f>SUMIFS(Budget!$S:$S,Budget!$A:$A,$A187)</f>
        <v/>
      </c>
      <c r="F187" s="9">
        <f>SUMIFS(Budget!$T:$T,Budget!$A:$A,$A187)</f>
        <v/>
      </c>
      <c r="G187" s="9">
        <f>SUMIFS(Budget!$U:$U,Budget!$A:$A,$A187)</f>
        <v/>
      </c>
      <c r="H187" s="9">
        <f>SUMIFS(Budget!$V:$V,Budget!$A:$A,$A187)</f>
        <v/>
      </c>
      <c r="I187" s="9">
        <f>SUMIFS(Budget!$W:$W,Budget!$A:$A,$A187)</f>
        <v/>
      </c>
      <c r="J187" s="9">
        <f>SUMIFS(Budget!$X:$X,Budget!$A:$A,$A187)</f>
        <v/>
      </c>
      <c r="K187" s="9">
        <f>SUMIFS(Budget!$Y:$Y,Budget!$A:$A,$A187)</f>
        <v/>
      </c>
      <c r="L187" s="9">
        <f>SUMIFS(Budget!$Z:$Z,Budget!$A:$A,$A187)</f>
        <v/>
      </c>
      <c r="M187" s="9">
        <f>SUMIFS(Budget!$AA:$AA,Budget!$A:$A,$A187)</f>
        <v/>
      </c>
      <c r="N187" s="10">
        <f>SUM(B187:M187)</f>
        <v/>
      </c>
    </row>
    <row r="188">
      <c r="A188" s="5" t="inlineStr">
        <is>
          <t>Recruitment</t>
        </is>
      </c>
      <c r="B188" s="9">
        <f>SUMIFS(Budget!$P:$P,Budget!$A:$A,$A188)</f>
        <v/>
      </c>
      <c r="C188" s="9">
        <f>SUMIFS(Budget!$Q:$Q,Budget!$A:$A,$A188)</f>
        <v/>
      </c>
      <c r="D188" s="9">
        <f>SUMIFS(Budget!$R:$R,Budget!$A:$A,$A188)</f>
        <v/>
      </c>
      <c r="E188" s="9">
        <f>SUMIFS(Budget!$S:$S,Budget!$A:$A,$A188)</f>
        <v/>
      </c>
      <c r="F188" s="9">
        <f>SUMIFS(Budget!$T:$T,Budget!$A:$A,$A188)</f>
        <v/>
      </c>
      <c r="G188" s="9">
        <f>SUMIFS(Budget!$U:$U,Budget!$A:$A,$A188)</f>
        <v/>
      </c>
      <c r="H188" s="9">
        <f>SUMIFS(Budget!$V:$V,Budget!$A:$A,$A188)</f>
        <v/>
      </c>
      <c r="I188" s="9">
        <f>SUMIFS(Budget!$W:$W,Budget!$A:$A,$A188)</f>
        <v/>
      </c>
      <c r="J188" s="9">
        <f>SUMIFS(Budget!$X:$X,Budget!$A:$A,$A188)</f>
        <v/>
      </c>
      <c r="K188" s="9">
        <f>SUMIFS(Budget!$Y:$Y,Budget!$A:$A,$A188)</f>
        <v/>
      </c>
      <c r="L188" s="9">
        <f>SUMIFS(Budget!$Z:$Z,Budget!$A:$A,$A188)</f>
        <v/>
      </c>
      <c r="M188" s="9">
        <f>SUMIFS(Budget!$AA:$AA,Budget!$A:$A,$A188)</f>
        <v/>
      </c>
      <c r="N188" s="10">
        <f>SUM(B188:M188)</f>
        <v/>
      </c>
    </row>
    <row r="189">
      <c r="A189" s="5" t="inlineStr">
        <is>
          <t>Rent</t>
        </is>
      </c>
      <c r="B189" s="9">
        <f>SUMIFS(Budget!$P:$P,Budget!$A:$A,$A189)</f>
        <v/>
      </c>
      <c r="C189" s="9">
        <f>SUMIFS(Budget!$Q:$Q,Budget!$A:$A,$A189)</f>
        <v/>
      </c>
      <c r="D189" s="9">
        <f>SUMIFS(Budget!$R:$R,Budget!$A:$A,$A189)</f>
        <v/>
      </c>
      <c r="E189" s="9">
        <f>SUMIFS(Budget!$S:$S,Budget!$A:$A,$A189)</f>
        <v/>
      </c>
      <c r="F189" s="9">
        <f>SUMIFS(Budget!$T:$T,Budget!$A:$A,$A189)</f>
        <v/>
      </c>
      <c r="G189" s="9">
        <f>SUMIFS(Budget!$U:$U,Budget!$A:$A,$A189)</f>
        <v/>
      </c>
      <c r="H189" s="9">
        <f>SUMIFS(Budget!$V:$V,Budget!$A:$A,$A189)</f>
        <v/>
      </c>
      <c r="I189" s="9">
        <f>SUMIFS(Budget!$W:$W,Budget!$A:$A,$A189)</f>
        <v/>
      </c>
      <c r="J189" s="9">
        <f>SUMIFS(Budget!$X:$X,Budget!$A:$A,$A189)</f>
        <v/>
      </c>
      <c r="K189" s="9">
        <f>SUMIFS(Budget!$Y:$Y,Budget!$A:$A,$A189)</f>
        <v/>
      </c>
      <c r="L189" s="9">
        <f>SUMIFS(Budget!$Z:$Z,Budget!$A:$A,$A189)</f>
        <v/>
      </c>
      <c r="M189" s="9">
        <f>SUMIFS(Budget!$AA:$AA,Budget!$A:$A,$A189)</f>
        <v/>
      </c>
      <c r="N189" s="10">
        <f>SUM(B189:M189)</f>
        <v/>
      </c>
    </row>
    <row r="190">
      <c r="A190" s="5" t="inlineStr">
        <is>
          <t>Rental Outgoings</t>
        </is>
      </c>
      <c r="B190" s="9">
        <f>SUMIFS(Budget!$P:$P,Budget!$A:$A,$A190)</f>
        <v/>
      </c>
      <c r="C190" s="9">
        <f>SUMIFS(Budget!$Q:$Q,Budget!$A:$A,$A190)</f>
        <v/>
      </c>
      <c r="D190" s="9">
        <f>SUMIFS(Budget!$R:$R,Budget!$A:$A,$A190)</f>
        <v/>
      </c>
      <c r="E190" s="9">
        <f>SUMIFS(Budget!$S:$S,Budget!$A:$A,$A190)</f>
        <v/>
      </c>
      <c r="F190" s="9">
        <f>SUMIFS(Budget!$T:$T,Budget!$A:$A,$A190)</f>
        <v/>
      </c>
      <c r="G190" s="9">
        <f>SUMIFS(Budget!$U:$U,Budget!$A:$A,$A190)</f>
        <v/>
      </c>
      <c r="H190" s="9">
        <f>SUMIFS(Budget!$V:$V,Budget!$A:$A,$A190)</f>
        <v/>
      </c>
      <c r="I190" s="9">
        <f>SUMIFS(Budget!$W:$W,Budget!$A:$A,$A190)</f>
        <v/>
      </c>
      <c r="J190" s="9">
        <f>SUMIFS(Budget!$X:$X,Budget!$A:$A,$A190)</f>
        <v/>
      </c>
      <c r="K190" s="9">
        <f>SUMIFS(Budget!$Y:$Y,Budget!$A:$A,$A190)</f>
        <v/>
      </c>
      <c r="L190" s="9">
        <f>SUMIFS(Budget!$Z:$Z,Budget!$A:$A,$A190)</f>
        <v/>
      </c>
      <c r="M190" s="9">
        <f>SUMIFS(Budget!$AA:$AA,Budget!$A:$A,$A190)</f>
        <v/>
      </c>
      <c r="N190" s="10">
        <f>SUM(B190:M190)</f>
        <v/>
      </c>
    </row>
    <row r="191">
      <c r="A191" s="5" t="inlineStr">
        <is>
          <t>Repairs &amp; Maintenance</t>
        </is>
      </c>
      <c r="B191" s="9">
        <f>SUMIFS(Budget!$P:$P,Budget!$A:$A,$A191)</f>
        <v/>
      </c>
      <c r="C191" s="9">
        <f>SUMIFS(Budget!$Q:$Q,Budget!$A:$A,$A191)</f>
        <v/>
      </c>
      <c r="D191" s="9">
        <f>SUMIFS(Budget!$R:$R,Budget!$A:$A,$A191)</f>
        <v/>
      </c>
      <c r="E191" s="9">
        <f>SUMIFS(Budget!$S:$S,Budget!$A:$A,$A191)</f>
        <v/>
      </c>
      <c r="F191" s="9">
        <f>SUMIFS(Budget!$T:$T,Budget!$A:$A,$A191)</f>
        <v/>
      </c>
      <c r="G191" s="9">
        <f>SUMIFS(Budget!$U:$U,Budget!$A:$A,$A191)</f>
        <v/>
      </c>
      <c r="H191" s="9">
        <f>SUMIFS(Budget!$V:$V,Budget!$A:$A,$A191)</f>
        <v/>
      </c>
      <c r="I191" s="9">
        <f>SUMIFS(Budget!$W:$W,Budget!$A:$A,$A191)</f>
        <v/>
      </c>
      <c r="J191" s="9">
        <f>SUMIFS(Budget!$X:$X,Budget!$A:$A,$A191)</f>
        <v/>
      </c>
      <c r="K191" s="9">
        <f>SUMIFS(Budget!$Y:$Y,Budget!$A:$A,$A191)</f>
        <v/>
      </c>
      <c r="L191" s="9">
        <f>SUMIFS(Budget!$Z:$Z,Budget!$A:$A,$A191)</f>
        <v/>
      </c>
      <c r="M191" s="9">
        <f>SUMIFS(Budget!$AA:$AA,Budget!$A:$A,$A191)</f>
        <v/>
      </c>
      <c r="N191" s="10">
        <f>SUM(B191:M191)</f>
        <v/>
      </c>
    </row>
    <row r="192">
      <c r="A192" s="5" t="inlineStr">
        <is>
          <t>Replacements</t>
        </is>
      </c>
      <c r="B192" s="9">
        <f>SUMIFS(Budget!$P:$P,Budget!$A:$A,$A192)</f>
        <v/>
      </c>
      <c r="C192" s="9">
        <f>SUMIFS(Budget!$Q:$Q,Budget!$A:$A,$A192)</f>
        <v/>
      </c>
      <c r="D192" s="9">
        <f>SUMIFS(Budget!$R:$R,Budget!$A:$A,$A192)</f>
        <v/>
      </c>
      <c r="E192" s="9">
        <f>SUMIFS(Budget!$S:$S,Budget!$A:$A,$A192)</f>
        <v/>
      </c>
      <c r="F192" s="9">
        <f>SUMIFS(Budget!$T:$T,Budget!$A:$A,$A192)</f>
        <v/>
      </c>
      <c r="G192" s="9">
        <f>SUMIFS(Budget!$U:$U,Budget!$A:$A,$A192)</f>
        <v/>
      </c>
      <c r="H192" s="9">
        <f>SUMIFS(Budget!$V:$V,Budget!$A:$A,$A192)</f>
        <v/>
      </c>
      <c r="I192" s="9">
        <f>SUMIFS(Budget!$W:$W,Budget!$A:$A,$A192)</f>
        <v/>
      </c>
      <c r="J192" s="9">
        <f>SUMIFS(Budget!$X:$X,Budget!$A:$A,$A192)</f>
        <v/>
      </c>
      <c r="K192" s="9">
        <f>SUMIFS(Budget!$Y:$Y,Budget!$A:$A,$A192)</f>
        <v/>
      </c>
      <c r="L192" s="9">
        <f>SUMIFS(Budget!$Z:$Z,Budget!$A:$A,$A192)</f>
        <v/>
      </c>
      <c r="M192" s="9">
        <f>SUMIFS(Budget!$AA:$AA,Budget!$A:$A,$A192)</f>
        <v/>
      </c>
      <c r="N192" s="10">
        <f>SUM(B192:M192)</f>
        <v/>
      </c>
    </row>
    <row r="193">
      <c r="A193" s="5" t="inlineStr">
        <is>
          <t>SGC Penalties</t>
        </is>
      </c>
      <c r="B193" s="9">
        <f>SUMIFS(Budget!$P:$P,Budget!$A:$A,$A193)</f>
        <v/>
      </c>
      <c r="C193" s="9">
        <f>SUMIFS(Budget!$Q:$Q,Budget!$A:$A,$A193)</f>
        <v/>
      </c>
      <c r="D193" s="9">
        <f>SUMIFS(Budget!$R:$R,Budget!$A:$A,$A193)</f>
        <v/>
      </c>
      <c r="E193" s="9">
        <f>SUMIFS(Budget!$S:$S,Budget!$A:$A,$A193)</f>
        <v/>
      </c>
      <c r="F193" s="9">
        <f>SUMIFS(Budget!$T:$T,Budget!$A:$A,$A193)</f>
        <v/>
      </c>
      <c r="G193" s="9">
        <f>SUMIFS(Budget!$U:$U,Budget!$A:$A,$A193)</f>
        <v/>
      </c>
      <c r="H193" s="9">
        <f>SUMIFS(Budget!$V:$V,Budget!$A:$A,$A193)</f>
        <v/>
      </c>
      <c r="I193" s="9">
        <f>SUMIFS(Budget!$W:$W,Budget!$A:$A,$A193)</f>
        <v/>
      </c>
      <c r="J193" s="9">
        <f>SUMIFS(Budget!$X:$X,Budget!$A:$A,$A193)</f>
        <v/>
      </c>
      <c r="K193" s="9">
        <f>SUMIFS(Budget!$Y:$Y,Budget!$A:$A,$A193)</f>
        <v/>
      </c>
      <c r="L193" s="9">
        <f>SUMIFS(Budget!$Z:$Z,Budget!$A:$A,$A193)</f>
        <v/>
      </c>
      <c r="M193" s="9">
        <f>SUMIFS(Budget!$AA:$AA,Budget!$A:$A,$A193)</f>
        <v/>
      </c>
      <c r="N193" s="10">
        <f>SUM(B193:M193)</f>
        <v/>
      </c>
    </row>
    <row r="194">
      <c r="A194" s="5" t="inlineStr">
        <is>
          <t>Staff Amenities</t>
        </is>
      </c>
      <c r="B194" s="9">
        <f>SUMIFS(Budget!$P:$P,Budget!$A:$A,$A194)</f>
        <v/>
      </c>
      <c r="C194" s="9">
        <f>SUMIFS(Budget!$Q:$Q,Budget!$A:$A,$A194)</f>
        <v/>
      </c>
      <c r="D194" s="9">
        <f>SUMIFS(Budget!$R:$R,Budget!$A:$A,$A194)</f>
        <v/>
      </c>
      <c r="E194" s="9">
        <f>SUMIFS(Budget!$S:$S,Budget!$A:$A,$A194)</f>
        <v/>
      </c>
      <c r="F194" s="9">
        <f>SUMIFS(Budget!$T:$T,Budget!$A:$A,$A194)</f>
        <v/>
      </c>
      <c r="G194" s="9">
        <f>SUMIFS(Budget!$U:$U,Budget!$A:$A,$A194)</f>
        <v/>
      </c>
      <c r="H194" s="9">
        <f>SUMIFS(Budget!$V:$V,Budget!$A:$A,$A194)</f>
        <v/>
      </c>
      <c r="I194" s="9">
        <f>SUMIFS(Budget!$W:$W,Budget!$A:$A,$A194)</f>
        <v/>
      </c>
      <c r="J194" s="9">
        <f>SUMIFS(Budget!$X:$X,Budget!$A:$A,$A194)</f>
        <v/>
      </c>
      <c r="K194" s="9">
        <f>SUMIFS(Budget!$Y:$Y,Budget!$A:$A,$A194)</f>
        <v/>
      </c>
      <c r="L194" s="9">
        <f>SUMIFS(Budget!$Z:$Z,Budget!$A:$A,$A194)</f>
        <v/>
      </c>
      <c r="M194" s="9">
        <f>SUMIFS(Budget!$AA:$AA,Budget!$A:$A,$A194)</f>
        <v/>
      </c>
      <c r="N194" s="10">
        <f>SUM(B194:M194)</f>
        <v/>
      </c>
    </row>
    <row r="195">
      <c r="A195" s="5" t="inlineStr">
        <is>
          <t>Staff Entertainment</t>
        </is>
      </c>
      <c r="B195" s="9">
        <f>SUMIFS(Budget!$P:$P,Budget!$A:$A,$A195)</f>
        <v/>
      </c>
      <c r="C195" s="9">
        <f>SUMIFS(Budget!$Q:$Q,Budget!$A:$A,$A195)</f>
        <v/>
      </c>
      <c r="D195" s="9">
        <f>SUMIFS(Budget!$R:$R,Budget!$A:$A,$A195)</f>
        <v/>
      </c>
      <c r="E195" s="9">
        <f>SUMIFS(Budget!$S:$S,Budget!$A:$A,$A195)</f>
        <v/>
      </c>
      <c r="F195" s="9">
        <f>SUMIFS(Budget!$T:$T,Budget!$A:$A,$A195)</f>
        <v/>
      </c>
      <c r="G195" s="9">
        <f>SUMIFS(Budget!$U:$U,Budget!$A:$A,$A195)</f>
        <v/>
      </c>
      <c r="H195" s="9">
        <f>SUMIFS(Budget!$V:$V,Budget!$A:$A,$A195)</f>
        <v/>
      </c>
      <c r="I195" s="9">
        <f>SUMIFS(Budget!$W:$W,Budget!$A:$A,$A195)</f>
        <v/>
      </c>
      <c r="J195" s="9">
        <f>SUMIFS(Budget!$X:$X,Budget!$A:$A,$A195)</f>
        <v/>
      </c>
      <c r="K195" s="9">
        <f>SUMIFS(Budget!$Y:$Y,Budget!$A:$A,$A195)</f>
        <v/>
      </c>
      <c r="L195" s="9">
        <f>SUMIFS(Budget!$Z:$Z,Budget!$A:$A,$A195)</f>
        <v/>
      </c>
      <c r="M195" s="9">
        <f>SUMIFS(Budget!$AA:$AA,Budget!$A:$A,$A195)</f>
        <v/>
      </c>
      <c r="N195" s="10">
        <f>SUM(B195:M195)</f>
        <v/>
      </c>
    </row>
    <row r="196">
      <c r="A196" s="5" t="inlineStr">
        <is>
          <t>Stamp Duty (Indirect)</t>
        </is>
      </c>
      <c r="B196" s="9">
        <f>SUMIFS(Budget!$P:$P,Budget!$A:$A,$A196)</f>
        <v/>
      </c>
      <c r="C196" s="9">
        <f>SUMIFS(Budget!$Q:$Q,Budget!$A:$A,$A196)</f>
        <v/>
      </c>
      <c r="D196" s="9">
        <f>SUMIFS(Budget!$R:$R,Budget!$A:$A,$A196)</f>
        <v/>
      </c>
      <c r="E196" s="9">
        <f>SUMIFS(Budget!$S:$S,Budget!$A:$A,$A196)</f>
        <v/>
      </c>
      <c r="F196" s="9">
        <f>SUMIFS(Budget!$T:$T,Budget!$A:$A,$A196)</f>
        <v/>
      </c>
      <c r="G196" s="9">
        <f>SUMIFS(Budget!$U:$U,Budget!$A:$A,$A196)</f>
        <v/>
      </c>
      <c r="H196" s="9">
        <f>SUMIFS(Budget!$V:$V,Budget!$A:$A,$A196)</f>
        <v/>
      </c>
      <c r="I196" s="9">
        <f>SUMIFS(Budget!$W:$W,Budget!$A:$A,$A196)</f>
        <v/>
      </c>
      <c r="J196" s="9">
        <f>SUMIFS(Budget!$X:$X,Budget!$A:$A,$A196)</f>
        <v/>
      </c>
      <c r="K196" s="9">
        <f>SUMIFS(Budget!$Y:$Y,Budget!$A:$A,$A196)</f>
        <v/>
      </c>
      <c r="L196" s="9">
        <f>SUMIFS(Budget!$Z:$Z,Budget!$A:$A,$A196)</f>
        <v/>
      </c>
      <c r="M196" s="9">
        <f>SUMIFS(Budget!$AA:$AA,Budget!$A:$A,$A196)</f>
        <v/>
      </c>
      <c r="N196" s="10">
        <f>SUM(B196:M196)</f>
        <v/>
      </c>
    </row>
    <row r="197">
      <c r="A197" s="5" t="inlineStr">
        <is>
          <t>Storage Fees</t>
        </is>
      </c>
      <c r="B197" s="9">
        <f>SUMIFS(Budget!$P:$P,Budget!$A:$A,$A197)</f>
        <v/>
      </c>
      <c r="C197" s="9">
        <f>SUMIFS(Budget!$Q:$Q,Budget!$A:$A,$A197)</f>
        <v/>
      </c>
      <c r="D197" s="9">
        <f>SUMIFS(Budget!$R:$R,Budget!$A:$A,$A197)</f>
        <v/>
      </c>
      <c r="E197" s="9">
        <f>SUMIFS(Budget!$S:$S,Budget!$A:$A,$A197)</f>
        <v/>
      </c>
      <c r="F197" s="9">
        <f>SUMIFS(Budget!$T:$T,Budget!$A:$A,$A197)</f>
        <v/>
      </c>
      <c r="G197" s="9">
        <f>SUMIFS(Budget!$U:$U,Budget!$A:$A,$A197)</f>
        <v/>
      </c>
      <c r="H197" s="9">
        <f>SUMIFS(Budget!$V:$V,Budget!$A:$A,$A197)</f>
        <v/>
      </c>
      <c r="I197" s="9">
        <f>SUMIFS(Budget!$W:$W,Budget!$A:$A,$A197)</f>
        <v/>
      </c>
      <c r="J197" s="9">
        <f>SUMIFS(Budget!$X:$X,Budget!$A:$A,$A197)</f>
        <v/>
      </c>
      <c r="K197" s="9">
        <f>SUMIFS(Budget!$Y:$Y,Budget!$A:$A,$A197)</f>
        <v/>
      </c>
      <c r="L197" s="9">
        <f>SUMIFS(Budget!$Z:$Z,Budget!$A:$A,$A197)</f>
        <v/>
      </c>
      <c r="M197" s="9">
        <f>SUMIFS(Budget!$AA:$AA,Budget!$A:$A,$A197)</f>
        <v/>
      </c>
      <c r="N197" s="10">
        <f>SUM(B197:M197)</f>
        <v/>
      </c>
    </row>
    <row r="198">
      <c r="A198" s="5" t="inlineStr">
        <is>
          <t>Stripe Fees</t>
        </is>
      </c>
      <c r="B198" s="9">
        <f>SUMIFS(Budget!$P:$P,Budget!$A:$A,$A198)</f>
        <v/>
      </c>
      <c r="C198" s="9">
        <f>SUMIFS(Budget!$Q:$Q,Budget!$A:$A,$A198)</f>
        <v/>
      </c>
      <c r="D198" s="9">
        <f>SUMIFS(Budget!$R:$R,Budget!$A:$A,$A198)</f>
        <v/>
      </c>
      <c r="E198" s="9">
        <f>SUMIFS(Budget!$S:$S,Budget!$A:$A,$A198)</f>
        <v/>
      </c>
      <c r="F198" s="9">
        <f>SUMIFS(Budget!$T:$T,Budget!$A:$A,$A198)</f>
        <v/>
      </c>
      <c r="G198" s="9">
        <f>SUMIFS(Budget!$U:$U,Budget!$A:$A,$A198)</f>
        <v/>
      </c>
      <c r="H198" s="9">
        <f>SUMIFS(Budget!$V:$V,Budget!$A:$A,$A198)</f>
        <v/>
      </c>
      <c r="I198" s="9">
        <f>SUMIFS(Budget!$W:$W,Budget!$A:$A,$A198)</f>
        <v/>
      </c>
      <c r="J198" s="9">
        <f>SUMIFS(Budget!$X:$X,Budget!$A:$A,$A198)</f>
        <v/>
      </c>
      <c r="K198" s="9">
        <f>SUMIFS(Budget!$Y:$Y,Budget!$A:$A,$A198)</f>
        <v/>
      </c>
      <c r="L198" s="9">
        <f>SUMIFS(Budget!$Z:$Z,Budget!$A:$A,$A198)</f>
        <v/>
      </c>
      <c r="M198" s="9">
        <f>SUMIFS(Budget!$AA:$AA,Budget!$A:$A,$A198)</f>
        <v/>
      </c>
      <c r="N198" s="10">
        <f>SUM(B198:M198)</f>
        <v/>
      </c>
    </row>
    <row r="199">
      <c r="A199" s="5" t="inlineStr">
        <is>
          <t>Superannuation</t>
        </is>
      </c>
      <c r="B199" s="9">
        <f>SUMIFS(Budget!$P:$P,Budget!$A:$A,$A199)</f>
        <v/>
      </c>
      <c r="C199" s="9">
        <f>SUMIFS(Budget!$Q:$Q,Budget!$A:$A,$A199)</f>
        <v/>
      </c>
      <c r="D199" s="9">
        <f>SUMIFS(Budget!$R:$R,Budget!$A:$A,$A199)</f>
        <v/>
      </c>
      <c r="E199" s="9">
        <f>SUMIFS(Budget!$S:$S,Budget!$A:$A,$A199)</f>
        <v/>
      </c>
      <c r="F199" s="9">
        <f>SUMIFS(Budget!$T:$T,Budget!$A:$A,$A199)</f>
        <v/>
      </c>
      <c r="G199" s="9">
        <f>SUMIFS(Budget!$U:$U,Budget!$A:$A,$A199)</f>
        <v/>
      </c>
      <c r="H199" s="9">
        <f>SUMIFS(Budget!$V:$V,Budget!$A:$A,$A199)</f>
        <v/>
      </c>
      <c r="I199" s="9">
        <f>SUMIFS(Budget!$W:$W,Budget!$A:$A,$A199)</f>
        <v/>
      </c>
      <c r="J199" s="9">
        <f>SUMIFS(Budget!$X:$X,Budget!$A:$A,$A199)</f>
        <v/>
      </c>
      <c r="K199" s="9">
        <f>SUMIFS(Budget!$Y:$Y,Budget!$A:$A,$A199)</f>
        <v/>
      </c>
      <c r="L199" s="9">
        <f>SUMIFS(Budget!$Z:$Z,Budget!$A:$A,$A199)</f>
        <v/>
      </c>
      <c r="M199" s="9">
        <f>SUMIFS(Budget!$AA:$AA,Budget!$A:$A,$A199)</f>
        <v/>
      </c>
      <c r="N199" s="10">
        <f>SUM(B199:M199)</f>
        <v/>
      </c>
    </row>
    <row r="200">
      <c r="A200" s="5" t="inlineStr">
        <is>
          <t>Taxis/Parking</t>
        </is>
      </c>
      <c r="B200" s="9">
        <f>SUMIFS(Budget!$P:$P,Budget!$A:$A,$A200)</f>
        <v/>
      </c>
      <c r="C200" s="9">
        <f>SUMIFS(Budget!$Q:$Q,Budget!$A:$A,$A200)</f>
        <v/>
      </c>
      <c r="D200" s="9">
        <f>SUMIFS(Budget!$R:$R,Budget!$A:$A,$A200)</f>
        <v/>
      </c>
      <c r="E200" s="9">
        <f>SUMIFS(Budget!$S:$S,Budget!$A:$A,$A200)</f>
        <v/>
      </c>
      <c r="F200" s="9">
        <f>SUMIFS(Budget!$T:$T,Budget!$A:$A,$A200)</f>
        <v/>
      </c>
      <c r="G200" s="9">
        <f>SUMIFS(Budget!$U:$U,Budget!$A:$A,$A200)</f>
        <v/>
      </c>
      <c r="H200" s="9">
        <f>SUMIFS(Budget!$V:$V,Budget!$A:$A,$A200)</f>
        <v/>
      </c>
      <c r="I200" s="9">
        <f>SUMIFS(Budget!$W:$W,Budget!$A:$A,$A200)</f>
        <v/>
      </c>
      <c r="J200" s="9">
        <f>SUMIFS(Budget!$X:$X,Budget!$A:$A,$A200)</f>
        <v/>
      </c>
      <c r="K200" s="9">
        <f>SUMIFS(Budget!$Y:$Y,Budget!$A:$A,$A200)</f>
        <v/>
      </c>
      <c r="L200" s="9">
        <f>SUMIFS(Budget!$Z:$Z,Budget!$A:$A,$A200)</f>
        <v/>
      </c>
      <c r="M200" s="9">
        <f>SUMIFS(Budget!$AA:$AA,Budget!$A:$A,$A200)</f>
        <v/>
      </c>
      <c r="N200" s="10">
        <f>SUM(B200:M200)</f>
        <v/>
      </c>
    </row>
    <row r="201">
      <c r="A201" s="5" t="inlineStr">
        <is>
          <t>Training Material &amp; Courses</t>
        </is>
      </c>
      <c r="B201" s="9">
        <f>SUMIFS(Budget!$P:$P,Budget!$A:$A,$A201)</f>
        <v/>
      </c>
      <c r="C201" s="9">
        <f>SUMIFS(Budget!$Q:$Q,Budget!$A:$A,$A201)</f>
        <v/>
      </c>
      <c r="D201" s="9">
        <f>SUMIFS(Budget!$R:$R,Budget!$A:$A,$A201)</f>
        <v/>
      </c>
      <c r="E201" s="9">
        <f>SUMIFS(Budget!$S:$S,Budget!$A:$A,$A201)</f>
        <v/>
      </c>
      <c r="F201" s="9">
        <f>SUMIFS(Budget!$T:$T,Budget!$A:$A,$A201)</f>
        <v/>
      </c>
      <c r="G201" s="9">
        <f>SUMIFS(Budget!$U:$U,Budget!$A:$A,$A201)</f>
        <v/>
      </c>
      <c r="H201" s="9">
        <f>SUMIFS(Budget!$V:$V,Budget!$A:$A,$A201)</f>
        <v/>
      </c>
      <c r="I201" s="9">
        <f>SUMIFS(Budget!$W:$W,Budget!$A:$A,$A201)</f>
        <v/>
      </c>
      <c r="J201" s="9">
        <f>SUMIFS(Budget!$X:$X,Budget!$A:$A,$A201)</f>
        <v/>
      </c>
      <c r="K201" s="9">
        <f>SUMIFS(Budget!$Y:$Y,Budget!$A:$A,$A201)</f>
        <v/>
      </c>
      <c r="L201" s="9">
        <f>SUMIFS(Budget!$Z:$Z,Budget!$A:$A,$A201)</f>
        <v/>
      </c>
      <c r="M201" s="9">
        <f>SUMIFS(Budget!$AA:$AA,Budget!$A:$A,$A201)</f>
        <v/>
      </c>
      <c r="N201" s="10">
        <f>SUM(B201:M201)</f>
        <v/>
      </c>
    </row>
    <row r="202">
      <c r="A202" s="5" t="inlineStr">
        <is>
          <t>Travel &amp; Per Diems</t>
        </is>
      </c>
      <c r="B202" s="9">
        <f>SUMIFS(Budget!$P:$P,Budget!$A:$A,$A202)</f>
        <v/>
      </c>
      <c r="C202" s="9">
        <f>SUMIFS(Budget!$Q:$Q,Budget!$A:$A,$A202)</f>
        <v/>
      </c>
      <c r="D202" s="9">
        <f>SUMIFS(Budget!$R:$R,Budget!$A:$A,$A202)</f>
        <v/>
      </c>
      <c r="E202" s="9">
        <f>SUMIFS(Budget!$S:$S,Budget!$A:$A,$A202)</f>
        <v/>
      </c>
      <c r="F202" s="9">
        <f>SUMIFS(Budget!$T:$T,Budget!$A:$A,$A202)</f>
        <v/>
      </c>
      <c r="G202" s="9">
        <f>SUMIFS(Budget!$U:$U,Budget!$A:$A,$A202)</f>
        <v/>
      </c>
      <c r="H202" s="9">
        <f>SUMIFS(Budget!$V:$V,Budget!$A:$A,$A202)</f>
        <v/>
      </c>
      <c r="I202" s="9">
        <f>SUMIFS(Budget!$W:$W,Budget!$A:$A,$A202)</f>
        <v/>
      </c>
      <c r="J202" s="9">
        <f>SUMIFS(Budget!$X:$X,Budget!$A:$A,$A202)</f>
        <v/>
      </c>
      <c r="K202" s="9">
        <f>SUMIFS(Budget!$Y:$Y,Budget!$A:$A,$A202)</f>
        <v/>
      </c>
      <c r="L202" s="9">
        <f>SUMIFS(Budget!$Z:$Z,Budget!$A:$A,$A202)</f>
        <v/>
      </c>
      <c r="M202" s="9">
        <f>SUMIFS(Budget!$AA:$AA,Budget!$A:$A,$A202)</f>
        <v/>
      </c>
      <c r="N202" s="10">
        <f>SUM(B202:M202)</f>
        <v/>
      </c>
    </row>
    <row r="203">
      <c r="A203" s="5" t="inlineStr">
        <is>
          <t>Travel Insurance</t>
        </is>
      </c>
      <c r="B203" s="9">
        <f>SUMIFS(Budget!$P:$P,Budget!$A:$A,$A203)</f>
        <v/>
      </c>
      <c r="C203" s="9">
        <f>SUMIFS(Budget!$Q:$Q,Budget!$A:$A,$A203)</f>
        <v/>
      </c>
      <c r="D203" s="9">
        <f>SUMIFS(Budget!$R:$R,Budget!$A:$A,$A203)</f>
        <v/>
      </c>
      <c r="E203" s="9">
        <f>SUMIFS(Budget!$S:$S,Budget!$A:$A,$A203)</f>
        <v/>
      </c>
      <c r="F203" s="9">
        <f>SUMIFS(Budget!$T:$T,Budget!$A:$A,$A203)</f>
        <v/>
      </c>
      <c r="G203" s="9">
        <f>SUMIFS(Budget!$U:$U,Budget!$A:$A,$A203)</f>
        <v/>
      </c>
      <c r="H203" s="9">
        <f>SUMIFS(Budget!$V:$V,Budget!$A:$A,$A203)</f>
        <v/>
      </c>
      <c r="I203" s="9">
        <f>SUMIFS(Budget!$W:$W,Budget!$A:$A,$A203)</f>
        <v/>
      </c>
      <c r="J203" s="9">
        <f>SUMIFS(Budget!$X:$X,Budget!$A:$A,$A203)</f>
        <v/>
      </c>
      <c r="K203" s="9">
        <f>SUMIFS(Budget!$Y:$Y,Budget!$A:$A,$A203)</f>
        <v/>
      </c>
      <c r="L203" s="9">
        <f>SUMIFS(Budget!$Z:$Z,Budget!$A:$A,$A203)</f>
        <v/>
      </c>
      <c r="M203" s="9">
        <f>SUMIFS(Budget!$AA:$AA,Budget!$A:$A,$A203)</f>
        <v/>
      </c>
      <c r="N203" s="10">
        <f>SUM(B203:M203)</f>
        <v/>
      </c>
    </row>
    <row r="204">
      <c r="A204" s="5" t="inlineStr">
        <is>
          <t>Under/(Over) provision for tax</t>
        </is>
      </c>
      <c r="B204" s="9">
        <f>SUMIFS(Budget!$P:$P,Budget!$A:$A,$A204)</f>
        <v/>
      </c>
      <c r="C204" s="9">
        <f>SUMIFS(Budget!$Q:$Q,Budget!$A:$A,$A204)</f>
        <v/>
      </c>
      <c r="D204" s="9">
        <f>SUMIFS(Budget!$R:$R,Budget!$A:$A,$A204)</f>
        <v/>
      </c>
      <c r="E204" s="9">
        <f>SUMIFS(Budget!$S:$S,Budget!$A:$A,$A204)</f>
        <v/>
      </c>
      <c r="F204" s="9">
        <f>SUMIFS(Budget!$T:$T,Budget!$A:$A,$A204)</f>
        <v/>
      </c>
      <c r="G204" s="9">
        <f>SUMIFS(Budget!$U:$U,Budget!$A:$A,$A204)</f>
        <v/>
      </c>
      <c r="H204" s="9">
        <f>SUMIFS(Budget!$V:$V,Budget!$A:$A,$A204)</f>
        <v/>
      </c>
      <c r="I204" s="9">
        <f>SUMIFS(Budget!$W:$W,Budget!$A:$A,$A204)</f>
        <v/>
      </c>
      <c r="J204" s="9">
        <f>SUMIFS(Budget!$X:$X,Budget!$A:$A,$A204)</f>
        <v/>
      </c>
      <c r="K204" s="9">
        <f>SUMIFS(Budget!$Y:$Y,Budget!$A:$A,$A204)</f>
        <v/>
      </c>
      <c r="L204" s="9">
        <f>SUMIFS(Budget!$Z:$Z,Budget!$A:$A,$A204)</f>
        <v/>
      </c>
      <c r="M204" s="9">
        <f>SUMIFS(Budget!$AA:$AA,Budget!$A:$A,$A204)</f>
        <v/>
      </c>
      <c r="N204" s="10">
        <f>SUM(B204:M204)</f>
        <v/>
      </c>
    </row>
    <row r="205">
      <c r="A205" s="5" t="inlineStr">
        <is>
          <t>Unrealised Currency Gains</t>
        </is>
      </c>
      <c r="B205" s="9">
        <f>SUMIFS(Budget!$P:$P,Budget!$A:$A,$A205)</f>
        <v/>
      </c>
      <c r="C205" s="9">
        <f>SUMIFS(Budget!$Q:$Q,Budget!$A:$A,$A205)</f>
        <v/>
      </c>
      <c r="D205" s="9">
        <f>SUMIFS(Budget!$R:$R,Budget!$A:$A,$A205)</f>
        <v/>
      </c>
      <c r="E205" s="9">
        <f>SUMIFS(Budget!$S:$S,Budget!$A:$A,$A205)</f>
        <v/>
      </c>
      <c r="F205" s="9">
        <f>SUMIFS(Budget!$T:$T,Budget!$A:$A,$A205)</f>
        <v/>
      </c>
      <c r="G205" s="9">
        <f>SUMIFS(Budget!$U:$U,Budget!$A:$A,$A205)</f>
        <v/>
      </c>
      <c r="H205" s="9">
        <f>SUMIFS(Budget!$V:$V,Budget!$A:$A,$A205)</f>
        <v/>
      </c>
      <c r="I205" s="9">
        <f>SUMIFS(Budget!$W:$W,Budget!$A:$A,$A205)</f>
        <v/>
      </c>
      <c r="J205" s="9">
        <f>SUMIFS(Budget!$X:$X,Budget!$A:$A,$A205)</f>
        <v/>
      </c>
      <c r="K205" s="9">
        <f>SUMIFS(Budget!$Y:$Y,Budget!$A:$A,$A205)</f>
        <v/>
      </c>
      <c r="L205" s="9">
        <f>SUMIFS(Budget!$Z:$Z,Budget!$A:$A,$A205)</f>
        <v/>
      </c>
      <c r="M205" s="9">
        <f>SUMIFS(Budget!$AA:$AA,Budget!$A:$A,$A205)</f>
        <v/>
      </c>
      <c r="N205" s="10">
        <f>SUM(B205:M205)</f>
        <v/>
      </c>
    </row>
    <row r="206">
      <c r="A206" s="5" t="inlineStr">
        <is>
          <t>Workers' Compensation</t>
        </is>
      </c>
      <c r="B206" s="9">
        <f>SUMIFS(Budget!$P:$P,Budget!$A:$A,$A206)</f>
        <v/>
      </c>
      <c r="C206" s="9">
        <f>SUMIFS(Budget!$Q:$Q,Budget!$A:$A,$A206)</f>
        <v/>
      </c>
      <c r="D206" s="9">
        <f>SUMIFS(Budget!$R:$R,Budget!$A:$A,$A206)</f>
        <v/>
      </c>
      <c r="E206" s="9">
        <f>SUMIFS(Budget!$S:$S,Budget!$A:$A,$A206)</f>
        <v/>
      </c>
      <c r="F206" s="9">
        <f>SUMIFS(Budget!$T:$T,Budget!$A:$A,$A206)</f>
        <v/>
      </c>
      <c r="G206" s="9">
        <f>SUMIFS(Budget!$U:$U,Budget!$A:$A,$A206)</f>
        <v/>
      </c>
      <c r="H206" s="9">
        <f>SUMIFS(Budget!$V:$V,Budget!$A:$A,$A206)</f>
        <v/>
      </c>
      <c r="I206" s="9">
        <f>SUMIFS(Budget!$W:$W,Budget!$A:$A,$A206)</f>
        <v/>
      </c>
      <c r="J206" s="9">
        <f>SUMIFS(Budget!$X:$X,Budget!$A:$A,$A206)</f>
        <v/>
      </c>
      <c r="K206" s="9">
        <f>SUMIFS(Budget!$Y:$Y,Budget!$A:$A,$A206)</f>
        <v/>
      </c>
      <c r="L206" s="9">
        <f>SUMIFS(Budget!$Z:$Z,Budget!$A:$A,$A206)</f>
        <v/>
      </c>
      <c r="M206" s="9">
        <f>SUMIFS(Budget!$AA:$AA,Budget!$A:$A,$A206)</f>
        <v/>
      </c>
      <c r="N206" s="10">
        <f>SUM(B206:M206)</f>
        <v/>
      </c>
    </row>
    <row r="207">
      <c r="A207" s="11" t="inlineStr">
        <is>
          <t>Total Expenses</t>
        </is>
      </c>
      <c r="B207" s="12">
        <f>SUM(B127:B206)</f>
        <v/>
      </c>
      <c r="C207" s="12">
        <f>SUM(C127:C206)</f>
        <v/>
      </c>
      <c r="D207" s="12">
        <f>SUM(D127:D206)</f>
        <v/>
      </c>
      <c r="E207" s="12">
        <f>SUM(E127:E206)</f>
        <v/>
      </c>
      <c r="F207" s="12">
        <f>SUM(F127:F206)</f>
        <v/>
      </c>
      <c r="G207" s="12">
        <f>SUM(G127:G206)</f>
        <v/>
      </c>
      <c r="H207" s="12">
        <f>SUM(H127:H206)</f>
        <v/>
      </c>
      <c r="I207" s="12">
        <f>SUM(I127:I206)</f>
        <v/>
      </c>
      <c r="J207" s="12">
        <f>SUM(J127:J206)</f>
        <v/>
      </c>
      <c r="K207" s="12">
        <f>SUM(K127:K206)</f>
        <v/>
      </c>
      <c r="L207" s="12">
        <f>SUM(L127:L206)</f>
        <v/>
      </c>
      <c r="M207" s="12">
        <f>SUM(M127:M206)</f>
        <v/>
      </c>
      <c r="N207" s="12">
        <f>SUM(B207:M207)</f>
        <v/>
      </c>
    </row>
    <row r="209">
      <c r="A209" s="11" t="inlineStr">
        <is>
          <t>NET PROFIT</t>
        </is>
      </c>
      <c r="B209" s="12">
        <f>B111+B124-B207</f>
        <v/>
      </c>
      <c r="C209" s="12">
        <f>C111+C124-C207</f>
        <v/>
      </c>
      <c r="D209" s="12">
        <f>D111+D124-D207</f>
        <v/>
      </c>
      <c r="E209" s="12">
        <f>E111+E124-E207</f>
        <v/>
      </c>
      <c r="F209" s="12">
        <f>F111+F124-F207</f>
        <v/>
      </c>
      <c r="G209" s="12">
        <f>G111+G124-G207</f>
        <v/>
      </c>
      <c r="H209" s="12">
        <f>H111+H124-H207</f>
        <v/>
      </c>
      <c r="I209" s="12">
        <f>I111+I124-I207</f>
        <v/>
      </c>
      <c r="J209" s="12">
        <f>J111+J124-J207</f>
        <v/>
      </c>
      <c r="K209" s="12">
        <f>K111+K124-K207</f>
        <v/>
      </c>
      <c r="L209" s="12">
        <f>L111+L124-L207</f>
        <v/>
      </c>
      <c r="M209" s="12">
        <f>M111+M124-M207</f>
        <v/>
      </c>
      <c r="N209" s="12">
        <f>SUM(B209:M209)</f>
        <v/>
      </c>
    </row>
    <row r="210">
      <c r="A210" s="11" t="inlineStr">
        <is>
          <t>Net Profit %</t>
        </is>
      </c>
      <c r="B210" s="13">
        <f>IFERROR(B209/B40,0)</f>
        <v/>
      </c>
      <c r="C210" s="13">
        <f>IFERROR(C209/C40,0)</f>
        <v/>
      </c>
      <c r="D210" s="13">
        <f>IFERROR(D209/D40,0)</f>
        <v/>
      </c>
      <c r="E210" s="13">
        <f>IFERROR(E209/E40,0)</f>
        <v/>
      </c>
      <c r="F210" s="13">
        <f>IFERROR(F209/F40,0)</f>
        <v/>
      </c>
      <c r="G210" s="13">
        <f>IFERROR(G209/G40,0)</f>
        <v/>
      </c>
      <c r="H210" s="13">
        <f>IFERROR(H209/H40,0)</f>
        <v/>
      </c>
      <c r="I210" s="13">
        <f>IFERROR(I209/I40,0)</f>
        <v/>
      </c>
      <c r="J210" s="13">
        <f>IFERROR(J209/J40,0)</f>
        <v/>
      </c>
      <c r="K210" s="13">
        <f>IFERROR(K209/K40,0)</f>
        <v/>
      </c>
      <c r="L210" s="13">
        <f>IFERROR(L209/L40,0)</f>
        <v/>
      </c>
      <c r="M210" s="13">
        <f>IFERROR(M209/M40,0)</f>
        <v/>
      </c>
      <c r="N210" s="13">
        <f>SUM(B210:M210)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Budget vs Actual</t>
        </is>
      </c>
    </row>
    <row r="2">
      <c r="A2" s="2" t="inlineStr">
        <is>
          <t>Actual against budget, account by account. A positive variance means actual is above budget, which is good for income and bad for costs.</t>
        </is>
      </c>
    </row>
    <row r="3" ht="28" customHeight="1">
      <c r="A3" s="3" t="inlineStr">
        <is>
          <t>Account</t>
        </is>
      </c>
      <c r="B3" s="4" t="inlineStr">
        <is>
          <t>Actual FY27</t>
        </is>
      </c>
      <c r="C3" s="4" t="inlineStr">
        <is>
          <t>Budget FY27</t>
        </is>
      </c>
      <c r="D3" s="4" t="inlineStr">
        <is>
          <t>Variance $</t>
        </is>
      </c>
      <c r="E3" s="4" t="inlineStr">
        <is>
          <t>Variance %</t>
        </is>
      </c>
    </row>
    <row r="4">
      <c r="A4" s="20" t="inlineStr">
        <is>
          <t>INCOME</t>
        </is>
      </c>
      <c r="B4" s="12">
        <f>'This Year'!N4</f>
        <v/>
      </c>
      <c r="C4" s="12">
        <f>'Budget P&amp;L'!N4</f>
        <v/>
      </c>
      <c r="D4" s="12">
        <f>B4-C4</f>
        <v/>
      </c>
      <c r="E4" s="13">
        <f>IFERROR(D4/ABS(C4),0)</f>
        <v/>
      </c>
    </row>
    <row r="5">
      <c r="A5" s="21" t="inlineStr">
        <is>
          <t>Ad Hoc Service Labour</t>
        </is>
      </c>
      <c r="B5" s="9">
        <f>'This Year'!N5</f>
        <v/>
      </c>
      <c r="C5" s="9">
        <f>'Budget P&amp;L'!N5</f>
        <v/>
      </c>
      <c r="D5" s="9">
        <f>B5-C5</f>
        <v/>
      </c>
      <c r="E5" s="22">
        <f>IFERROR(D5/ABS(C5),0)</f>
        <v/>
      </c>
    </row>
    <row r="6">
      <c r="A6" s="21" t="inlineStr">
        <is>
          <t>Closing Work in Progress</t>
        </is>
      </c>
      <c r="B6" s="9">
        <f>'This Year'!N6</f>
        <v/>
      </c>
      <c r="C6" s="9">
        <f>'Budget P&amp;L'!N6</f>
        <v/>
      </c>
      <c r="D6" s="9">
        <f>B6-C6</f>
        <v/>
      </c>
      <c r="E6" s="22">
        <f>IFERROR(D6/ABS(C6),0)</f>
        <v/>
      </c>
    </row>
    <row r="7">
      <c r="A7" s="21" t="inlineStr">
        <is>
          <t>Conference Call Charge</t>
        </is>
      </c>
      <c r="B7" s="9">
        <f>'This Year'!N7</f>
        <v/>
      </c>
      <c r="C7" s="9">
        <f>'Budget P&amp;L'!N7</f>
        <v/>
      </c>
      <c r="D7" s="9">
        <f>B7-C7</f>
        <v/>
      </c>
      <c r="E7" s="22">
        <f>IFERROR(D7/ABS(C7),0)</f>
        <v/>
      </c>
    </row>
    <row r="8">
      <c r="A8" s="21" t="inlineStr">
        <is>
          <t>Contract Help Desk</t>
        </is>
      </c>
      <c r="B8" s="9">
        <f>'This Year'!N8</f>
        <v/>
      </c>
      <c r="C8" s="9">
        <f>'Budget P&amp;L'!N8</f>
        <v/>
      </c>
      <c r="D8" s="9">
        <f>B8-C8</f>
        <v/>
      </c>
      <c r="E8" s="22">
        <f>IFERROR(D8/ABS(C8),0)</f>
        <v/>
      </c>
    </row>
    <row r="9">
      <c r="A9" s="21" t="inlineStr">
        <is>
          <t>Contract Maintenance</t>
        </is>
      </c>
      <c r="B9" s="9">
        <f>'This Year'!N9</f>
        <v/>
      </c>
      <c r="C9" s="9">
        <f>'Budget P&amp;L'!N9</f>
        <v/>
      </c>
      <c r="D9" s="9">
        <f>B9-C9</f>
        <v/>
      </c>
      <c r="E9" s="22">
        <f>IFERROR(D9/ABS(C9),0)</f>
        <v/>
      </c>
    </row>
    <row r="10">
      <c r="A10" s="21" t="inlineStr">
        <is>
          <t>Contract Support Staff</t>
        </is>
      </c>
      <c r="B10" s="9">
        <f>'This Year'!N10</f>
        <v/>
      </c>
      <c r="C10" s="9">
        <f>'Budget P&amp;L'!N10</f>
        <v/>
      </c>
      <c r="D10" s="9">
        <f>B10-C10</f>
        <v/>
      </c>
      <c r="E10" s="22">
        <f>IFERROR(D10/ABS(C10),0)</f>
        <v/>
      </c>
    </row>
    <row r="11">
      <c r="A11" s="21" t="inlineStr">
        <is>
          <t>Credit Card Collected - CONS</t>
        </is>
      </c>
      <c r="B11" s="9">
        <f>'This Year'!N11</f>
        <v/>
      </c>
      <c r="C11" s="9">
        <f>'Budget P&amp;L'!N11</f>
        <v/>
      </c>
      <c r="D11" s="9">
        <f>B11-C11</f>
        <v/>
      </c>
      <c r="E11" s="22">
        <f>IFERROR(D11/ABS(C11),0)</f>
        <v/>
      </c>
    </row>
    <row r="12">
      <c r="A12" s="21" t="inlineStr">
        <is>
          <t>Credit Card Collected - ONS</t>
        </is>
      </c>
      <c r="B12" s="9">
        <f>'This Year'!N12</f>
        <v/>
      </c>
      <c r="C12" s="9">
        <f>'Budget P&amp;L'!N12</f>
        <v/>
      </c>
      <c r="D12" s="9">
        <f>B12-C12</f>
        <v/>
      </c>
      <c r="E12" s="22">
        <f>IFERROR(D12/ABS(C12),0)</f>
        <v/>
      </c>
    </row>
    <row r="13">
      <c r="A13" s="21" t="inlineStr">
        <is>
          <t>Credit Card Collected - PRD</t>
        </is>
      </c>
      <c r="B13" s="9">
        <f>'This Year'!N13</f>
        <v/>
      </c>
      <c r="C13" s="9">
        <f>'Budget P&amp;L'!N13</f>
        <v/>
      </c>
      <c r="D13" s="9">
        <f>B13-C13</f>
        <v/>
      </c>
      <c r="E13" s="22">
        <f>IFERROR(D13/ABS(C13),0)</f>
        <v/>
      </c>
    </row>
    <row r="14">
      <c r="A14" s="21" t="inlineStr">
        <is>
          <t>Credit Card Collected - VID</t>
        </is>
      </c>
      <c r="B14" s="9">
        <f>'This Year'!N14</f>
        <v/>
      </c>
      <c r="C14" s="9">
        <f>'Budget P&amp;L'!N14</f>
        <v/>
      </c>
      <c r="D14" s="9">
        <f>B14-C14</f>
        <v/>
      </c>
      <c r="E14" s="22">
        <f>IFERROR(D14/ABS(C14),0)</f>
        <v/>
      </c>
    </row>
    <row r="15">
      <c r="A15" s="21" t="inlineStr">
        <is>
          <t>Credit Card Collected-INTEGRATION</t>
        </is>
      </c>
      <c r="B15" s="9">
        <f>'This Year'!N15</f>
        <v/>
      </c>
      <c r="C15" s="9">
        <f>'Budget P&amp;L'!N15</f>
        <v/>
      </c>
      <c r="D15" s="9">
        <f>B15-C15</f>
        <v/>
      </c>
      <c r="E15" s="22">
        <f>IFERROR(D15/ABS(C15),0)</f>
        <v/>
      </c>
    </row>
    <row r="16">
      <c r="A16" s="21" t="inlineStr">
        <is>
          <t>Credit Card Fees - ADMIN</t>
        </is>
      </c>
      <c r="B16" s="9">
        <f>'This Year'!N16</f>
        <v/>
      </c>
      <c r="C16" s="9">
        <f>'Budget P&amp;L'!N16</f>
        <v/>
      </c>
      <c r="D16" s="9">
        <f>B16-C16</f>
        <v/>
      </c>
      <c r="E16" s="22">
        <f>IFERROR(D16/ABS(C16),0)</f>
        <v/>
      </c>
    </row>
    <row r="17">
      <c r="A17" s="21" t="inlineStr">
        <is>
          <t>Equipment Hires</t>
        </is>
      </c>
      <c r="B17" s="9">
        <f>'This Year'!N17</f>
        <v/>
      </c>
      <c r="C17" s="9">
        <f>'Budget P&amp;L'!N17</f>
        <v/>
      </c>
      <c r="D17" s="9">
        <f>B17-C17</f>
        <v/>
      </c>
      <c r="E17" s="22">
        <f>IFERROR(D17/ABS(C17),0)</f>
        <v/>
      </c>
    </row>
    <row r="18">
      <c r="A18" s="21" t="inlineStr">
        <is>
          <t>Equipment Sales</t>
        </is>
      </c>
      <c r="B18" s="9">
        <f>'This Year'!N18</f>
        <v/>
      </c>
      <c r="C18" s="9">
        <f>'Budget P&amp;L'!N18</f>
        <v/>
      </c>
      <c r="D18" s="9">
        <f>B18-C18</f>
        <v/>
      </c>
      <c r="E18" s="22">
        <f>IFERROR(D18/ABS(C18),0)</f>
        <v/>
      </c>
    </row>
    <row r="19">
      <c r="A19" s="21" t="inlineStr">
        <is>
          <t>Freight &amp; Travel - ADMIN</t>
        </is>
      </c>
      <c r="B19" s="9">
        <f>'This Year'!N19</f>
        <v/>
      </c>
      <c r="C19" s="9">
        <f>'Budget P&amp;L'!N19</f>
        <v/>
      </c>
      <c r="D19" s="9">
        <f>B19-C19</f>
        <v/>
      </c>
      <c r="E19" s="22">
        <f>IFERROR(D19/ABS(C19),0)</f>
        <v/>
      </c>
    </row>
    <row r="20">
      <c r="A20" s="21" t="inlineStr">
        <is>
          <t>Freight &amp; Travel - CONS</t>
        </is>
      </c>
      <c r="B20" s="9">
        <f>'This Year'!N20</f>
        <v/>
      </c>
      <c r="C20" s="9">
        <f>'Budget P&amp;L'!N20</f>
        <v/>
      </c>
      <c r="D20" s="9">
        <f>B20-C20</f>
        <v/>
      </c>
      <c r="E20" s="22">
        <f>IFERROR(D20/ABS(C20),0)</f>
        <v/>
      </c>
    </row>
    <row r="21">
      <c r="A21" s="21" t="inlineStr">
        <is>
          <t>Freight &amp; Travel - INTEGRATION</t>
        </is>
      </c>
      <c r="B21" s="9">
        <f>'This Year'!N21</f>
        <v/>
      </c>
      <c r="C21" s="9">
        <f>'Budget P&amp;L'!N21</f>
        <v/>
      </c>
      <c r="D21" s="9">
        <f>B21-C21</f>
        <v/>
      </c>
      <c r="E21" s="22">
        <f>IFERROR(D21/ABS(C21),0)</f>
        <v/>
      </c>
    </row>
    <row r="22">
      <c r="A22" s="21" t="inlineStr">
        <is>
          <t>Freight &amp; Travel - ONS</t>
        </is>
      </c>
      <c r="B22" s="9">
        <f>'This Year'!N22</f>
        <v/>
      </c>
      <c r="C22" s="9">
        <f>'Budget P&amp;L'!N22</f>
        <v/>
      </c>
      <c r="D22" s="9">
        <f>B22-C22</f>
        <v/>
      </c>
      <c r="E22" s="22">
        <f>IFERROR(D22/ABS(C22),0)</f>
        <v/>
      </c>
    </row>
    <row r="23">
      <c r="A23" s="21" t="inlineStr">
        <is>
          <t>Freight &amp; Travel - PRD</t>
        </is>
      </c>
      <c r="B23" s="9">
        <f>'This Year'!N23</f>
        <v/>
      </c>
      <c r="C23" s="9">
        <f>'Budget P&amp;L'!N23</f>
        <v/>
      </c>
      <c r="D23" s="9">
        <f>B23-C23</f>
        <v/>
      </c>
      <c r="E23" s="22">
        <f>IFERROR(D23/ABS(C23),0)</f>
        <v/>
      </c>
    </row>
    <row r="24">
      <c r="A24" s="21" t="inlineStr">
        <is>
          <t>Freight &amp; Travel - VID</t>
        </is>
      </c>
      <c r="B24" s="9">
        <f>'This Year'!N24</f>
        <v/>
      </c>
      <c r="C24" s="9">
        <f>'Budget P&amp;L'!N24</f>
        <v/>
      </c>
      <c r="D24" s="9">
        <f>B24-C24</f>
        <v/>
      </c>
      <c r="E24" s="22">
        <f>IFERROR(D24/ABS(C24),0)</f>
        <v/>
      </c>
    </row>
    <row r="25">
      <c r="A25" s="21" t="inlineStr">
        <is>
          <t>Installation Labour</t>
        </is>
      </c>
      <c r="B25" s="9">
        <f>'This Year'!N25</f>
        <v/>
      </c>
      <c r="C25" s="9">
        <f>'Budget P&amp;L'!N25</f>
        <v/>
      </c>
      <c r="D25" s="9">
        <f>B25-C25</f>
        <v/>
      </c>
      <c r="E25" s="22">
        <f>IFERROR(D25/ABS(C25),0)</f>
        <v/>
      </c>
    </row>
    <row r="26">
      <c r="A26" s="21" t="inlineStr">
        <is>
          <t>Meal &amp; Travel - ADMIN</t>
        </is>
      </c>
      <c r="B26" s="9">
        <f>'This Year'!N26</f>
        <v/>
      </c>
      <c r="C26" s="9">
        <f>'Budget P&amp;L'!N26</f>
        <v/>
      </c>
      <c r="D26" s="9">
        <f>B26-C26</f>
        <v/>
      </c>
      <c r="E26" s="22">
        <f>IFERROR(D26/ABS(C26),0)</f>
        <v/>
      </c>
    </row>
    <row r="27">
      <c r="A27" s="21" t="inlineStr">
        <is>
          <t>Meal &amp; Travel - CONS</t>
        </is>
      </c>
      <c r="B27" s="9">
        <f>'This Year'!N27</f>
        <v/>
      </c>
      <c r="C27" s="9">
        <f>'Budget P&amp;L'!N27</f>
        <v/>
      </c>
      <c r="D27" s="9">
        <f>B27-C27</f>
        <v/>
      </c>
      <c r="E27" s="22">
        <f>IFERROR(D27/ABS(C27),0)</f>
        <v/>
      </c>
    </row>
    <row r="28">
      <c r="A28" s="21" t="inlineStr">
        <is>
          <t>Meal &amp; Travel - INTEGRATION</t>
        </is>
      </c>
      <c r="B28" s="9">
        <f>'This Year'!N28</f>
        <v/>
      </c>
      <c r="C28" s="9">
        <f>'Budget P&amp;L'!N28</f>
        <v/>
      </c>
      <c r="D28" s="9">
        <f>B28-C28</f>
        <v/>
      </c>
      <c r="E28" s="22">
        <f>IFERROR(D28/ABS(C28),0)</f>
        <v/>
      </c>
    </row>
    <row r="29">
      <c r="A29" s="21" t="inlineStr">
        <is>
          <t>Meal &amp; Travel - ONS</t>
        </is>
      </c>
      <c r="B29" s="9">
        <f>'This Year'!N29</f>
        <v/>
      </c>
      <c r="C29" s="9">
        <f>'Budget P&amp;L'!N29</f>
        <v/>
      </c>
      <c r="D29" s="9">
        <f>B29-C29</f>
        <v/>
      </c>
      <c r="E29" s="22">
        <f>IFERROR(D29/ABS(C29),0)</f>
        <v/>
      </c>
    </row>
    <row r="30">
      <c r="A30" s="21" t="inlineStr">
        <is>
          <t>Meal &amp; Travel - PRD</t>
        </is>
      </c>
      <c r="B30" s="9">
        <f>'This Year'!N30</f>
        <v/>
      </c>
      <c r="C30" s="9">
        <f>'Budget P&amp;L'!N30</f>
        <v/>
      </c>
      <c r="D30" s="9">
        <f>B30-C30</f>
        <v/>
      </c>
      <c r="E30" s="22">
        <f>IFERROR(D30/ABS(C30),0)</f>
        <v/>
      </c>
    </row>
    <row r="31">
      <c r="A31" s="21" t="inlineStr">
        <is>
          <t>Meal &amp; Travel - VID</t>
        </is>
      </c>
      <c r="B31" s="9">
        <f>'This Year'!N31</f>
        <v/>
      </c>
      <c r="C31" s="9">
        <f>'Budget P&amp;L'!N31</f>
        <v/>
      </c>
      <c r="D31" s="9">
        <f>B31-C31</f>
        <v/>
      </c>
      <c r="E31" s="22">
        <f>IFERROR(D31/ABS(C31),0)</f>
        <v/>
      </c>
    </row>
    <row r="32">
      <c r="A32" s="21" t="inlineStr">
        <is>
          <t>Miscellaneous Income</t>
        </is>
      </c>
      <c r="B32" s="9">
        <f>'This Year'!N32</f>
        <v/>
      </c>
      <c r="C32" s="9">
        <f>'Budget P&amp;L'!N32</f>
        <v/>
      </c>
      <c r="D32" s="9">
        <f>B32-C32</f>
        <v/>
      </c>
      <c r="E32" s="22">
        <f>IFERROR(D32/ABS(C32),0)</f>
        <v/>
      </c>
    </row>
    <row r="33">
      <c r="A33" s="21" t="inlineStr">
        <is>
          <t>Mobile Phone Plans</t>
        </is>
      </c>
      <c r="B33" s="9">
        <f>'This Year'!N33</f>
        <v/>
      </c>
      <c r="C33" s="9">
        <f>'Budget P&amp;L'!N33</f>
        <v/>
      </c>
      <c r="D33" s="9">
        <f>B33-C33</f>
        <v/>
      </c>
      <c r="E33" s="22">
        <f>IFERROR(D33/ABS(C33),0)</f>
        <v/>
      </c>
    </row>
    <row r="34">
      <c r="A34" s="21" t="inlineStr">
        <is>
          <t>Opening Work in Progress</t>
        </is>
      </c>
      <c r="B34" s="9">
        <f>'This Year'!N34</f>
        <v/>
      </c>
      <c r="C34" s="9">
        <f>'Budget P&amp;L'!N34</f>
        <v/>
      </c>
      <c r="D34" s="9">
        <f>B34-C34</f>
        <v/>
      </c>
      <c r="E34" s="22">
        <f>IFERROR(D34/ABS(C34),0)</f>
        <v/>
      </c>
    </row>
    <row r="35">
      <c r="A35" s="21" t="inlineStr">
        <is>
          <t>Production Labour</t>
        </is>
      </c>
      <c r="B35" s="9">
        <f>'This Year'!N35</f>
        <v/>
      </c>
      <c r="C35" s="9">
        <f>'Budget P&amp;L'!N35</f>
        <v/>
      </c>
      <c r="D35" s="9">
        <f>B35-C35</f>
        <v/>
      </c>
      <c r="E35" s="22">
        <f>IFERROR(D35/ABS(C35),0)</f>
        <v/>
      </c>
    </row>
    <row r="36">
      <c r="A36" s="21" t="inlineStr">
        <is>
          <t>Subscriptions &amp; Licences - Income</t>
        </is>
      </c>
      <c r="B36" s="9">
        <f>'This Year'!N36</f>
        <v/>
      </c>
      <c r="C36" s="9">
        <f>'Budget P&amp;L'!N36</f>
        <v/>
      </c>
      <c r="D36" s="9">
        <f>B36-C36</f>
        <v/>
      </c>
      <c r="E36" s="22">
        <f>IFERROR(D36/ABS(C36),0)</f>
        <v/>
      </c>
    </row>
    <row r="37">
      <c r="A37" s="21" t="inlineStr">
        <is>
          <t>Tech Consulting/Project Manage</t>
        </is>
      </c>
      <c r="B37" s="9">
        <f>'This Year'!N37</f>
        <v/>
      </c>
      <c r="C37" s="9">
        <f>'Budget P&amp;L'!N37</f>
        <v/>
      </c>
      <c r="D37" s="9">
        <f>B37-C37</f>
        <v/>
      </c>
      <c r="E37" s="22">
        <f>IFERROR(D37/ABS(C37),0)</f>
        <v/>
      </c>
    </row>
    <row r="38">
      <c r="A38" s="21" t="inlineStr">
        <is>
          <t>Tech Event Management</t>
        </is>
      </c>
      <c r="B38" s="9">
        <f>'This Year'!N38</f>
        <v/>
      </c>
      <c r="C38" s="9">
        <f>'Budget P&amp;L'!N38</f>
        <v/>
      </c>
      <c r="D38" s="9">
        <f>B38-C38</f>
        <v/>
      </c>
      <c r="E38" s="22">
        <f>IFERROR(D38/ABS(C38),0)</f>
        <v/>
      </c>
    </row>
    <row r="39">
      <c r="A39" s="21" t="inlineStr">
        <is>
          <t>Video Labour</t>
        </is>
      </c>
      <c r="B39" s="9">
        <f>'This Year'!N39</f>
        <v/>
      </c>
      <c r="C39" s="9">
        <f>'Budget P&amp;L'!N39</f>
        <v/>
      </c>
      <c r="D39" s="9">
        <f>B39-C39</f>
        <v/>
      </c>
      <c r="E39" s="22">
        <f>IFERROR(D39/ABS(C39),0)</f>
        <v/>
      </c>
    </row>
    <row r="40">
      <c r="A40" s="23" t="inlineStr">
        <is>
          <t>Total Income</t>
        </is>
      </c>
      <c r="B40" s="12">
        <f>'This Year'!N40</f>
        <v/>
      </c>
      <c r="C40" s="12">
        <f>'Budget P&amp;L'!N40</f>
        <v/>
      </c>
      <c r="D40" s="12">
        <f>B40-C40</f>
        <v/>
      </c>
      <c r="E40" s="13">
        <f>IFERROR(D40/ABS(C40),0)</f>
        <v/>
      </c>
    </row>
    <row r="42">
      <c r="A42" s="20" t="inlineStr">
        <is>
          <t>COST OF SALES</t>
        </is>
      </c>
      <c r="B42" s="12">
        <f>'This Year'!N42</f>
        <v/>
      </c>
      <c r="C42" s="12">
        <f>'Budget P&amp;L'!N42</f>
        <v/>
      </c>
      <c r="D42" s="12">
        <f>B42-C42</f>
        <v/>
      </c>
      <c r="E42" s="13">
        <f>IFERROR(D42/ABS(C42),0)</f>
        <v/>
      </c>
    </row>
    <row r="43">
      <c r="A43" s="21" t="inlineStr">
        <is>
          <t>Credit Card Paid - ADMIN</t>
        </is>
      </c>
      <c r="B43" s="9">
        <f>'This Year'!N43</f>
        <v/>
      </c>
      <c r="C43" s="9">
        <f>'Budget P&amp;L'!N43</f>
        <v/>
      </c>
      <c r="D43" s="9">
        <f>B43-C43</f>
        <v/>
      </c>
      <c r="E43" s="22">
        <f>IFERROR(D43/ABS(C43),0)</f>
        <v/>
      </c>
    </row>
    <row r="44">
      <c r="A44" s="21" t="inlineStr">
        <is>
          <t>Credit Card Paid - CONS</t>
        </is>
      </c>
      <c r="B44" s="9">
        <f>'This Year'!N44</f>
        <v/>
      </c>
      <c r="C44" s="9">
        <f>'Budget P&amp;L'!N44</f>
        <v/>
      </c>
      <c r="D44" s="9">
        <f>B44-C44</f>
        <v/>
      </c>
      <c r="E44" s="22">
        <f>IFERROR(D44/ABS(C44),0)</f>
        <v/>
      </c>
    </row>
    <row r="45">
      <c r="A45" s="21" t="inlineStr">
        <is>
          <t>Credit Card Paid - INTEGRATION</t>
        </is>
      </c>
      <c r="B45" s="9">
        <f>'This Year'!N45</f>
        <v/>
      </c>
      <c r="C45" s="9">
        <f>'Budget P&amp;L'!N45</f>
        <v/>
      </c>
      <c r="D45" s="9">
        <f>B45-C45</f>
        <v/>
      </c>
      <c r="E45" s="22">
        <f>IFERROR(D45/ABS(C45),0)</f>
        <v/>
      </c>
    </row>
    <row r="46">
      <c r="A46" s="21" t="inlineStr">
        <is>
          <t>Credit Card Paid - ONS</t>
        </is>
      </c>
      <c r="B46" s="9">
        <f>'This Year'!N46</f>
        <v/>
      </c>
      <c r="C46" s="9">
        <f>'Budget P&amp;L'!N46</f>
        <v/>
      </c>
      <c r="D46" s="9">
        <f>B46-C46</f>
        <v/>
      </c>
      <c r="E46" s="22">
        <f>IFERROR(D46/ABS(C46),0)</f>
        <v/>
      </c>
    </row>
    <row r="47">
      <c r="A47" s="21" t="inlineStr">
        <is>
          <t>Credit Card Paid - PRD</t>
        </is>
      </c>
      <c r="B47" s="9">
        <f>'This Year'!N47</f>
        <v/>
      </c>
      <c r="C47" s="9">
        <f>'Budget P&amp;L'!N47</f>
        <v/>
      </c>
      <c r="D47" s="9">
        <f>B47-C47</f>
        <v/>
      </c>
      <c r="E47" s="22">
        <f>IFERROR(D47/ABS(C47),0)</f>
        <v/>
      </c>
    </row>
    <row r="48">
      <c r="A48" s="21" t="inlineStr">
        <is>
          <t>Credit Card Paid - VID</t>
        </is>
      </c>
      <c r="B48" s="9">
        <f>'This Year'!N48</f>
        <v/>
      </c>
      <c r="C48" s="9">
        <f>'Budget P&amp;L'!N48</f>
        <v/>
      </c>
      <c r="D48" s="9">
        <f>B48-C48</f>
        <v/>
      </c>
      <c r="E48" s="22">
        <f>IFERROR(D48/ABS(C48),0)</f>
        <v/>
      </c>
    </row>
    <row r="49">
      <c r="A49" s="21" t="inlineStr">
        <is>
          <t>Damage Waiver</t>
        </is>
      </c>
      <c r="B49" s="9">
        <f>'This Year'!N49</f>
        <v/>
      </c>
      <c r="C49" s="9">
        <f>'Budget P&amp;L'!N49</f>
        <v/>
      </c>
      <c r="D49" s="9">
        <f>B49-C49</f>
        <v/>
      </c>
      <c r="E49" s="22">
        <f>IFERROR(D49/ABS(C49),0)</f>
        <v/>
      </c>
    </row>
    <row r="50">
      <c r="A50" s="21" t="inlineStr">
        <is>
          <t>Direct Freight - ADMIN</t>
        </is>
      </c>
      <c r="B50" s="9">
        <f>'This Year'!N50</f>
        <v/>
      </c>
      <c r="C50" s="9">
        <f>'Budget P&amp;L'!N50</f>
        <v/>
      </c>
      <c r="D50" s="9">
        <f>B50-C50</f>
        <v/>
      </c>
      <c r="E50" s="22">
        <f>IFERROR(D50/ABS(C50),0)</f>
        <v/>
      </c>
    </row>
    <row r="51">
      <c r="A51" s="21" t="inlineStr">
        <is>
          <t>Direct Freight - CONS</t>
        </is>
      </c>
      <c r="B51" s="9">
        <f>'This Year'!N51</f>
        <v/>
      </c>
      <c r="C51" s="9">
        <f>'Budget P&amp;L'!N51</f>
        <v/>
      </c>
      <c r="D51" s="9">
        <f>B51-C51</f>
        <v/>
      </c>
      <c r="E51" s="22">
        <f>IFERROR(D51/ABS(C51),0)</f>
        <v/>
      </c>
    </row>
    <row r="52">
      <c r="A52" s="21" t="inlineStr">
        <is>
          <t>Direct Freight - INTEGRATION</t>
        </is>
      </c>
      <c r="B52" s="9">
        <f>'This Year'!N52</f>
        <v/>
      </c>
      <c r="C52" s="9">
        <f>'Budget P&amp;L'!N52</f>
        <v/>
      </c>
      <c r="D52" s="9">
        <f>B52-C52</f>
        <v/>
      </c>
      <c r="E52" s="22">
        <f>IFERROR(D52/ABS(C52),0)</f>
        <v/>
      </c>
    </row>
    <row r="53">
      <c r="A53" s="21" t="inlineStr">
        <is>
          <t>Direct Freight - ONS</t>
        </is>
      </c>
      <c r="B53" s="9">
        <f>'This Year'!N53</f>
        <v/>
      </c>
      <c r="C53" s="9">
        <f>'Budget P&amp;L'!N53</f>
        <v/>
      </c>
      <c r="D53" s="9">
        <f>B53-C53</f>
        <v/>
      </c>
      <c r="E53" s="22">
        <f>IFERROR(D53/ABS(C53),0)</f>
        <v/>
      </c>
    </row>
    <row r="54">
      <c r="A54" s="21" t="inlineStr">
        <is>
          <t>Direct Freight - PRD</t>
        </is>
      </c>
      <c r="B54" s="9">
        <f>'This Year'!N54</f>
        <v/>
      </c>
      <c r="C54" s="9">
        <f>'Budget P&amp;L'!N54</f>
        <v/>
      </c>
      <c r="D54" s="9">
        <f>B54-C54</f>
        <v/>
      </c>
      <c r="E54" s="22">
        <f>IFERROR(D54/ABS(C54),0)</f>
        <v/>
      </c>
    </row>
    <row r="55">
      <c r="A55" s="21" t="inlineStr">
        <is>
          <t>Direct Freight - VID</t>
        </is>
      </c>
      <c r="B55" s="9">
        <f>'This Year'!N55</f>
        <v/>
      </c>
      <c r="C55" s="9">
        <f>'Budget P&amp;L'!N55</f>
        <v/>
      </c>
      <c r="D55" s="9">
        <f>B55-C55</f>
        <v/>
      </c>
      <c r="E55" s="22">
        <f>IFERROR(D55/ABS(C55),0)</f>
        <v/>
      </c>
    </row>
    <row r="56">
      <c r="A56" s="21" t="inlineStr">
        <is>
          <t>Direct Mobile - CONS</t>
        </is>
      </c>
      <c r="B56" s="9">
        <f>'This Year'!N56</f>
        <v/>
      </c>
      <c r="C56" s="9">
        <f>'Budget P&amp;L'!N56</f>
        <v/>
      </c>
      <c r="D56" s="9">
        <f>B56-C56</f>
        <v/>
      </c>
      <c r="E56" s="22">
        <f>IFERROR(D56/ABS(C56),0)</f>
        <v/>
      </c>
    </row>
    <row r="57">
      <c r="A57" s="21" t="inlineStr">
        <is>
          <t>Direct Mobile - INTEGRATION</t>
        </is>
      </c>
      <c r="B57" s="9">
        <f>'This Year'!N57</f>
        <v/>
      </c>
      <c r="C57" s="9">
        <f>'Budget P&amp;L'!N57</f>
        <v/>
      </c>
      <c r="D57" s="9">
        <f>B57-C57</f>
        <v/>
      </c>
      <c r="E57" s="22">
        <f>IFERROR(D57/ABS(C57),0)</f>
        <v/>
      </c>
    </row>
    <row r="58">
      <c r="A58" s="21" t="inlineStr">
        <is>
          <t>Direct Mobile - ONS</t>
        </is>
      </c>
      <c r="B58" s="9">
        <f>'This Year'!N58</f>
        <v/>
      </c>
      <c r="C58" s="9">
        <f>'Budget P&amp;L'!N58</f>
        <v/>
      </c>
      <c r="D58" s="9">
        <f>B58-C58</f>
        <v/>
      </c>
      <c r="E58" s="22">
        <f>IFERROR(D58/ABS(C58),0)</f>
        <v/>
      </c>
    </row>
    <row r="59">
      <c r="A59" s="21" t="inlineStr">
        <is>
          <t>Direct Mobile - PRD</t>
        </is>
      </c>
      <c r="B59" s="9">
        <f>'This Year'!N59</f>
        <v/>
      </c>
      <c r="C59" s="9">
        <f>'Budget P&amp;L'!N59</f>
        <v/>
      </c>
      <c r="D59" s="9">
        <f>B59-C59</f>
        <v/>
      </c>
      <c r="E59" s="22">
        <f>IFERROR(D59/ABS(C59),0)</f>
        <v/>
      </c>
    </row>
    <row r="60">
      <c r="A60" s="21" t="inlineStr">
        <is>
          <t>Direct Mobile - VID</t>
        </is>
      </c>
      <c r="B60" s="9">
        <f>'This Year'!N60</f>
        <v/>
      </c>
      <c r="C60" s="9">
        <f>'Budget P&amp;L'!N60</f>
        <v/>
      </c>
      <c r="D60" s="9">
        <f>B60-C60</f>
        <v/>
      </c>
      <c r="E60" s="22">
        <f>IFERROR(D60/ABS(C60),0)</f>
        <v/>
      </c>
    </row>
    <row r="61">
      <c r="A61" s="21" t="inlineStr">
        <is>
          <t>Direct Salaries - ADMIN</t>
        </is>
      </c>
      <c r="B61" s="9">
        <f>'This Year'!N61</f>
        <v/>
      </c>
      <c r="C61" s="9">
        <f>'Budget P&amp;L'!N61</f>
        <v/>
      </c>
      <c r="D61" s="9">
        <f>B61-C61</f>
        <v/>
      </c>
      <c r="E61" s="22">
        <f>IFERROR(D61/ABS(C61),0)</f>
        <v/>
      </c>
    </row>
    <row r="62">
      <c r="A62" s="21" t="inlineStr">
        <is>
          <t>Direct Salaries - CONS</t>
        </is>
      </c>
      <c r="B62" s="9">
        <f>'This Year'!N62</f>
        <v/>
      </c>
      <c r="C62" s="9">
        <f>'Budget P&amp;L'!N62</f>
        <v/>
      </c>
      <c r="D62" s="9">
        <f>B62-C62</f>
        <v/>
      </c>
      <c r="E62" s="22">
        <f>IFERROR(D62/ABS(C62),0)</f>
        <v/>
      </c>
    </row>
    <row r="63">
      <c r="A63" s="21" t="inlineStr">
        <is>
          <t>Direct Salaries - INTEGRATION</t>
        </is>
      </c>
      <c r="B63" s="9">
        <f>'This Year'!N63</f>
        <v/>
      </c>
      <c r="C63" s="9">
        <f>'Budget P&amp;L'!N63</f>
        <v/>
      </c>
      <c r="D63" s="9">
        <f>B63-C63</f>
        <v/>
      </c>
      <c r="E63" s="22">
        <f>IFERROR(D63/ABS(C63),0)</f>
        <v/>
      </c>
    </row>
    <row r="64">
      <c r="A64" s="21" t="inlineStr">
        <is>
          <t>Direct Salaries - ONS</t>
        </is>
      </c>
      <c r="B64" s="9">
        <f>'This Year'!N64</f>
        <v/>
      </c>
      <c r="C64" s="9">
        <f>'Budget P&amp;L'!N64</f>
        <v/>
      </c>
      <c r="D64" s="9">
        <f>B64-C64</f>
        <v/>
      </c>
      <c r="E64" s="22">
        <f>IFERROR(D64/ABS(C64),0)</f>
        <v/>
      </c>
    </row>
    <row r="65">
      <c r="A65" s="21" t="inlineStr">
        <is>
          <t>Direct Salaries - PRD</t>
        </is>
      </c>
      <c r="B65" s="9">
        <f>'This Year'!N65</f>
        <v/>
      </c>
      <c r="C65" s="9">
        <f>'Budget P&amp;L'!N65</f>
        <v/>
      </c>
      <c r="D65" s="9">
        <f>B65-C65</f>
        <v/>
      </c>
      <c r="E65" s="22">
        <f>IFERROR(D65/ABS(C65),0)</f>
        <v/>
      </c>
    </row>
    <row r="66">
      <c r="A66" s="21" t="inlineStr">
        <is>
          <t>Direct Salaries - VID</t>
        </is>
      </c>
      <c r="B66" s="9">
        <f>'This Year'!N66</f>
        <v/>
      </c>
      <c r="C66" s="9">
        <f>'Budget P&amp;L'!N66</f>
        <v/>
      </c>
      <c r="D66" s="9">
        <f>B66-C66</f>
        <v/>
      </c>
      <c r="E66" s="22">
        <f>IFERROR(D66/ABS(C66),0)</f>
        <v/>
      </c>
    </row>
    <row r="67">
      <c r="A67" s="21" t="inlineStr">
        <is>
          <t>Direct Superannuation - ADMIN</t>
        </is>
      </c>
      <c r="B67" s="9">
        <f>'This Year'!N67</f>
        <v/>
      </c>
      <c r="C67" s="9">
        <f>'Budget P&amp;L'!N67</f>
        <v/>
      </c>
      <c r="D67" s="9">
        <f>B67-C67</f>
        <v/>
      </c>
      <c r="E67" s="22">
        <f>IFERROR(D67/ABS(C67),0)</f>
        <v/>
      </c>
    </row>
    <row r="68">
      <c r="A68" s="21" t="inlineStr">
        <is>
          <t>Direct Superannuation - CONS</t>
        </is>
      </c>
      <c r="B68" s="9">
        <f>'This Year'!N68</f>
        <v/>
      </c>
      <c r="C68" s="9">
        <f>'Budget P&amp;L'!N68</f>
        <v/>
      </c>
      <c r="D68" s="9">
        <f>B68-C68</f>
        <v/>
      </c>
      <c r="E68" s="22">
        <f>IFERROR(D68/ABS(C68),0)</f>
        <v/>
      </c>
    </row>
    <row r="69">
      <c r="A69" s="21" t="inlineStr">
        <is>
          <t>Direct Superannuation - ONS</t>
        </is>
      </c>
      <c r="B69" s="9">
        <f>'This Year'!N69</f>
        <v/>
      </c>
      <c r="C69" s="9">
        <f>'Budget P&amp;L'!N69</f>
        <v/>
      </c>
      <c r="D69" s="9">
        <f>B69-C69</f>
        <v/>
      </c>
      <c r="E69" s="22">
        <f>IFERROR(D69/ABS(C69),0)</f>
        <v/>
      </c>
    </row>
    <row r="70">
      <c r="A70" s="21" t="inlineStr">
        <is>
          <t>Direct Superannuation - PRD</t>
        </is>
      </c>
      <c r="B70" s="9">
        <f>'This Year'!N70</f>
        <v/>
      </c>
      <c r="C70" s="9">
        <f>'Budget P&amp;L'!N70</f>
        <v/>
      </c>
      <c r="D70" s="9">
        <f>B70-C70</f>
        <v/>
      </c>
      <c r="E70" s="22">
        <f>IFERROR(D70/ABS(C70),0)</f>
        <v/>
      </c>
    </row>
    <row r="71">
      <c r="A71" s="21" t="inlineStr">
        <is>
          <t>Direct Superannuation - VID</t>
        </is>
      </c>
      <c r="B71" s="9">
        <f>'This Year'!N71</f>
        <v/>
      </c>
      <c r="C71" s="9">
        <f>'Budget P&amp;L'!N71</f>
        <v/>
      </c>
      <c r="D71" s="9">
        <f>B71-C71</f>
        <v/>
      </c>
      <c r="E71" s="22">
        <f>IFERROR(D71/ABS(C71),0)</f>
        <v/>
      </c>
    </row>
    <row r="72">
      <c r="A72" s="21" t="inlineStr">
        <is>
          <t>Direct Superannuation-INTEGRATION</t>
        </is>
      </c>
      <c r="B72" s="9">
        <f>'This Year'!N72</f>
        <v/>
      </c>
      <c r="C72" s="9">
        <f>'Budget P&amp;L'!N72</f>
        <v/>
      </c>
      <c r="D72" s="9">
        <f>B72-C72</f>
        <v/>
      </c>
      <c r="E72" s="22">
        <f>IFERROR(D72/ABS(C72),0)</f>
        <v/>
      </c>
    </row>
    <row r="73">
      <c r="A73" s="21" t="inlineStr">
        <is>
          <t>Direct Travel - ADMIN</t>
        </is>
      </c>
      <c r="B73" s="9">
        <f>'This Year'!N73</f>
        <v/>
      </c>
      <c r="C73" s="9">
        <f>'Budget P&amp;L'!N73</f>
        <v/>
      </c>
      <c r="D73" s="9">
        <f>B73-C73</f>
        <v/>
      </c>
      <c r="E73" s="22">
        <f>IFERROR(D73/ABS(C73),0)</f>
        <v/>
      </c>
    </row>
    <row r="74">
      <c r="A74" s="21" t="inlineStr">
        <is>
          <t>Direct Travel - CONS</t>
        </is>
      </c>
      <c r="B74" s="9">
        <f>'This Year'!N74</f>
        <v/>
      </c>
      <c r="C74" s="9">
        <f>'Budget P&amp;L'!N74</f>
        <v/>
      </c>
      <c r="D74" s="9">
        <f>B74-C74</f>
        <v/>
      </c>
      <c r="E74" s="22">
        <f>IFERROR(D74/ABS(C74),0)</f>
        <v/>
      </c>
    </row>
    <row r="75">
      <c r="A75" s="21" t="inlineStr">
        <is>
          <t>Direct Travel - INTEGRATION</t>
        </is>
      </c>
      <c r="B75" s="9">
        <f>'This Year'!N75</f>
        <v/>
      </c>
      <c r="C75" s="9">
        <f>'Budget P&amp;L'!N75</f>
        <v/>
      </c>
      <c r="D75" s="9">
        <f>B75-C75</f>
        <v/>
      </c>
      <c r="E75" s="22">
        <f>IFERROR(D75/ABS(C75),0)</f>
        <v/>
      </c>
    </row>
    <row r="76">
      <c r="A76" s="21" t="inlineStr">
        <is>
          <t>Direct Travel - ONS</t>
        </is>
      </c>
      <c r="B76" s="9">
        <f>'This Year'!N76</f>
        <v/>
      </c>
      <c r="C76" s="9">
        <f>'Budget P&amp;L'!N76</f>
        <v/>
      </c>
      <c r="D76" s="9">
        <f>B76-C76</f>
        <v/>
      </c>
      <c r="E76" s="22">
        <f>IFERROR(D76/ABS(C76),0)</f>
        <v/>
      </c>
    </row>
    <row r="77">
      <c r="A77" s="21" t="inlineStr">
        <is>
          <t>Direct Travel - PRD</t>
        </is>
      </c>
      <c r="B77" s="9">
        <f>'This Year'!N77</f>
        <v/>
      </c>
      <c r="C77" s="9">
        <f>'Budget P&amp;L'!N77</f>
        <v/>
      </c>
      <c r="D77" s="9">
        <f>B77-C77</f>
        <v/>
      </c>
      <c r="E77" s="22">
        <f>IFERROR(D77/ABS(C77),0)</f>
        <v/>
      </c>
    </row>
    <row r="78">
      <c r="A78" s="21" t="inlineStr">
        <is>
          <t>Direct Travel - VID</t>
        </is>
      </c>
      <c r="B78" s="9">
        <f>'This Year'!N78</f>
        <v/>
      </c>
      <c r="C78" s="9">
        <f>'Budget P&amp;L'!N78</f>
        <v/>
      </c>
      <c r="D78" s="9">
        <f>B78-C78</f>
        <v/>
      </c>
      <c r="E78" s="22">
        <f>IFERROR(D78/ABS(C78),0)</f>
        <v/>
      </c>
    </row>
    <row r="79">
      <c r="A79" s="21" t="inlineStr">
        <is>
          <t>Direct Wages - CONS</t>
        </is>
      </c>
      <c r="B79" s="9">
        <f>'This Year'!N79</f>
        <v/>
      </c>
      <c r="C79" s="9">
        <f>'Budget P&amp;L'!N79</f>
        <v/>
      </c>
      <c r="D79" s="9">
        <f>B79-C79</f>
        <v/>
      </c>
      <c r="E79" s="22">
        <f>IFERROR(D79/ABS(C79),0)</f>
        <v/>
      </c>
    </row>
    <row r="80">
      <c r="A80" s="21" t="inlineStr">
        <is>
          <t>Direct Wages - INTEGRATION</t>
        </is>
      </c>
      <c r="B80" s="9">
        <f>'This Year'!N80</f>
        <v/>
      </c>
      <c r="C80" s="9">
        <f>'Budget P&amp;L'!N80</f>
        <v/>
      </c>
      <c r="D80" s="9">
        <f>B80-C80</f>
        <v/>
      </c>
      <c r="E80" s="22">
        <f>IFERROR(D80/ABS(C80),0)</f>
        <v/>
      </c>
    </row>
    <row r="81">
      <c r="A81" s="21" t="inlineStr">
        <is>
          <t>Direct Wages - ONS</t>
        </is>
      </c>
      <c r="B81" s="9">
        <f>'This Year'!N81</f>
        <v/>
      </c>
      <c r="C81" s="9">
        <f>'Budget P&amp;L'!N81</f>
        <v/>
      </c>
      <c r="D81" s="9">
        <f>B81-C81</f>
        <v/>
      </c>
      <c r="E81" s="22">
        <f>IFERROR(D81/ABS(C81),0)</f>
        <v/>
      </c>
    </row>
    <row r="82">
      <c r="A82" s="21" t="inlineStr">
        <is>
          <t>Direct Wages - PRD</t>
        </is>
      </c>
      <c r="B82" s="9">
        <f>'This Year'!N82</f>
        <v/>
      </c>
      <c r="C82" s="9">
        <f>'Budget P&amp;L'!N82</f>
        <v/>
      </c>
      <c r="D82" s="9">
        <f>B82-C82</f>
        <v/>
      </c>
      <c r="E82" s="22">
        <f>IFERROR(D82/ABS(C82),0)</f>
        <v/>
      </c>
    </row>
    <row r="83">
      <c r="A83" s="21" t="inlineStr">
        <is>
          <t>Direct Wages - VID</t>
        </is>
      </c>
      <c r="B83" s="9">
        <f>'This Year'!N83</f>
        <v/>
      </c>
      <c r="C83" s="9">
        <f>'Budget P&amp;L'!N83</f>
        <v/>
      </c>
      <c r="D83" s="9">
        <f>B83-C83</f>
        <v/>
      </c>
      <c r="E83" s="22">
        <f>IFERROR(D83/ABS(C83),0)</f>
        <v/>
      </c>
    </row>
    <row r="84">
      <c r="A84" s="21" t="inlineStr">
        <is>
          <t>Direct Workers Comp - ADMIN</t>
        </is>
      </c>
      <c r="B84" s="9">
        <f>'This Year'!N84</f>
        <v/>
      </c>
      <c r="C84" s="9">
        <f>'Budget P&amp;L'!N84</f>
        <v/>
      </c>
      <c r="D84" s="9">
        <f>B84-C84</f>
        <v/>
      </c>
      <c r="E84" s="22">
        <f>IFERROR(D84/ABS(C84),0)</f>
        <v/>
      </c>
    </row>
    <row r="85">
      <c r="A85" s="21" t="inlineStr">
        <is>
          <t>Direct Workers Comp - CONS</t>
        </is>
      </c>
      <c r="B85" s="9">
        <f>'This Year'!N85</f>
        <v/>
      </c>
      <c r="C85" s="9">
        <f>'Budget P&amp;L'!N85</f>
        <v/>
      </c>
      <c r="D85" s="9">
        <f>B85-C85</f>
        <v/>
      </c>
      <c r="E85" s="22">
        <f>IFERROR(D85/ABS(C85),0)</f>
        <v/>
      </c>
    </row>
    <row r="86">
      <c r="A86" s="21" t="inlineStr">
        <is>
          <t>Direct Workers Comp - INTEGRATION</t>
        </is>
      </c>
      <c r="B86" s="9">
        <f>'This Year'!N86</f>
        <v/>
      </c>
      <c r="C86" s="9">
        <f>'Budget P&amp;L'!N86</f>
        <v/>
      </c>
      <c r="D86" s="9">
        <f>B86-C86</f>
        <v/>
      </c>
      <c r="E86" s="22">
        <f>IFERROR(D86/ABS(C86),0)</f>
        <v/>
      </c>
    </row>
    <row r="87">
      <c r="A87" s="21" t="inlineStr">
        <is>
          <t>Direct Workers Comp - ONS</t>
        </is>
      </c>
      <c r="B87" s="9">
        <f>'This Year'!N87</f>
        <v/>
      </c>
      <c r="C87" s="9">
        <f>'Budget P&amp;L'!N87</f>
        <v/>
      </c>
      <c r="D87" s="9">
        <f>B87-C87</f>
        <v/>
      </c>
      <c r="E87" s="22">
        <f>IFERROR(D87/ABS(C87),0)</f>
        <v/>
      </c>
    </row>
    <row r="88">
      <c r="A88" s="21" t="inlineStr">
        <is>
          <t>Direct Workers Comp - PRD</t>
        </is>
      </c>
      <c r="B88" s="9">
        <f>'This Year'!N88</f>
        <v/>
      </c>
      <c r="C88" s="9">
        <f>'Budget P&amp;L'!N88</f>
        <v/>
      </c>
      <c r="D88" s="9">
        <f>B88-C88</f>
        <v/>
      </c>
      <c r="E88" s="22">
        <f>IFERROR(D88/ABS(C88),0)</f>
        <v/>
      </c>
    </row>
    <row r="89">
      <c r="A89" s="21" t="inlineStr">
        <is>
          <t>Direct Workers Comp - VID</t>
        </is>
      </c>
      <c r="B89" s="9">
        <f>'This Year'!N89</f>
        <v/>
      </c>
      <c r="C89" s="9">
        <f>'Budget P&amp;L'!N89</f>
        <v/>
      </c>
      <c r="D89" s="9">
        <f>B89-C89</f>
        <v/>
      </c>
      <c r="E89" s="22">
        <f>IFERROR(D89/ABS(C89),0)</f>
        <v/>
      </c>
    </row>
    <row r="90">
      <c r="A90" s="21" t="inlineStr">
        <is>
          <t>Discounts Given</t>
        </is>
      </c>
      <c r="B90" s="9">
        <f>'This Year'!N90</f>
        <v/>
      </c>
      <c r="C90" s="9">
        <f>'Budget P&amp;L'!N90</f>
        <v/>
      </c>
      <c r="D90" s="9">
        <f>B90-C90</f>
        <v/>
      </c>
      <c r="E90" s="22">
        <f>IFERROR(D90/ABS(C90),0)</f>
        <v/>
      </c>
    </row>
    <row r="91">
      <c r="A91" s="21" t="inlineStr">
        <is>
          <t>Equipment - Hires</t>
        </is>
      </c>
      <c r="B91" s="9">
        <f>'This Year'!N91</f>
        <v/>
      </c>
      <c r="C91" s="9">
        <f>'Budget P&amp;L'!N91</f>
        <v/>
      </c>
      <c r="D91" s="9">
        <f>B91-C91</f>
        <v/>
      </c>
      <c r="E91" s="22">
        <f>IFERROR(D91/ABS(C91),0)</f>
        <v/>
      </c>
    </row>
    <row r="92">
      <c r="A92" s="21" t="inlineStr">
        <is>
          <t>Equipment - Purchase</t>
        </is>
      </c>
      <c r="B92" s="9">
        <f>'This Year'!N92</f>
        <v/>
      </c>
      <c r="C92" s="9">
        <f>'Budget P&amp;L'!N92</f>
        <v/>
      </c>
      <c r="D92" s="9">
        <f>B92-C92</f>
        <v/>
      </c>
      <c r="E92" s="22">
        <f>IFERROR(D92/ABS(C92),0)</f>
        <v/>
      </c>
    </row>
    <row r="93">
      <c r="A93" s="21" t="inlineStr">
        <is>
          <t>Equipment -Maintenance Support</t>
        </is>
      </c>
      <c r="B93" s="9">
        <f>'This Year'!N93</f>
        <v/>
      </c>
      <c r="C93" s="9">
        <f>'Budget P&amp;L'!N93</f>
        <v/>
      </c>
      <c r="D93" s="9">
        <f>B93-C93</f>
        <v/>
      </c>
      <c r="E93" s="22">
        <f>IFERROR(D93/ABS(C93),0)</f>
        <v/>
      </c>
    </row>
    <row r="94">
      <c r="A94" s="21" t="inlineStr">
        <is>
          <t>Service - hires</t>
        </is>
      </c>
      <c r="B94" s="9">
        <f>'This Year'!N94</f>
        <v/>
      </c>
      <c r="C94" s="9">
        <f>'Budget P&amp;L'!N94</f>
        <v/>
      </c>
      <c r="D94" s="9">
        <f>B94-C94</f>
        <v/>
      </c>
      <c r="E94" s="22">
        <f>IFERROR(D94/ABS(C94),0)</f>
        <v/>
      </c>
    </row>
    <row r="95">
      <c r="A95" s="21" t="inlineStr">
        <is>
          <t>Stamp Duty</t>
        </is>
      </c>
      <c r="B95" s="9">
        <f>'This Year'!N95</f>
        <v/>
      </c>
      <c r="C95" s="9">
        <f>'Budget P&amp;L'!N95</f>
        <v/>
      </c>
      <c r="D95" s="9">
        <f>B95-C95</f>
        <v/>
      </c>
      <c r="E95" s="22">
        <f>IFERROR(D95/ABS(C95),0)</f>
        <v/>
      </c>
    </row>
    <row r="96">
      <c r="A96" s="21" t="inlineStr">
        <is>
          <t>Sub-Contract Labour - ADMIN</t>
        </is>
      </c>
      <c r="B96" s="9">
        <f>'This Year'!N96</f>
        <v/>
      </c>
      <c r="C96" s="9">
        <f>'Budget P&amp;L'!N96</f>
        <v/>
      </c>
      <c r="D96" s="9">
        <f>B96-C96</f>
        <v/>
      </c>
      <c r="E96" s="22">
        <f>IFERROR(D96/ABS(C96),0)</f>
        <v/>
      </c>
    </row>
    <row r="97">
      <c r="A97" s="21" t="inlineStr">
        <is>
          <t>Sub-Contract Labour - CONS</t>
        </is>
      </c>
      <c r="B97" s="9">
        <f>'This Year'!N97</f>
        <v/>
      </c>
      <c r="C97" s="9">
        <f>'Budget P&amp;L'!N97</f>
        <v/>
      </c>
      <c r="D97" s="9">
        <f>B97-C97</f>
        <v/>
      </c>
      <c r="E97" s="22">
        <f>IFERROR(D97/ABS(C97),0)</f>
        <v/>
      </c>
    </row>
    <row r="98">
      <c r="A98" s="21" t="inlineStr">
        <is>
          <t>Sub-Contract Labour - INTEGRATION</t>
        </is>
      </c>
      <c r="B98" s="9">
        <f>'This Year'!N98</f>
        <v/>
      </c>
      <c r="C98" s="9">
        <f>'Budget P&amp;L'!N98</f>
        <v/>
      </c>
      <c r="D98" s="9">
        <f>B98-C98</f>
        <v/>
      </c>
      <c r="E98" s="22">
        <f>IFERROR(D98/ABS(C98),0)</f>
        <v/>
      </c>
    </row>
    <row r="99">
      <c r="A99" s="21" t="inlineStr">
        <is>
          <t>Sub-Contract Labour - ONS</t>
        </is>
      </c>
      <c r="B99" s="9">
        <f>'This Year'!N99</f>
        <v/>
      </c>
      <c r="C99" s="9">
        <f>'Budget P&amp;L'!N99</f>
        <v/>
      </c>
      <c r="D99" s="9">
        <f>B99-C99</f>
        <v/>
      </c>
      <c r="E99" s="22">
        <f>IFERROR(D99/ABS(C99),0)</f>
        <v/>
      </c>
    </row>
    <row r="100">
      <c r="A100" s="21" t="inlineStr">
        <is>
          <t>Sub-Contract Labour - PRD</t>
        </is>
      </c>
      <c r="B100" s="9">
        <f>'This Year'!N100</f>
        <v/>
      </c>
      <c r="C100" s="9">
        <f>'Budget P&amp;L'!N100</f>
        <v/>
      </c>
      <c r="D100" s="9">
        <f>B100-C100</f>
        <v/>
      </c>
      <c r="E100" s="22">
        <f>IFERROR(D100/ABS(C100),0)</f>
        <v/>
      </c>
    </row>
    <row r="101">
      <c r="A101" s="21" t="inlineStr">
        <is>
          <t>Sub-Contract Labour - VID</t>
        </is>
      </c>
      <c r="B101" s="9">
        <f>'This Year'!N101</f>
        <v/>
      </c>
      <c r="C101" s="9">
        <f>'Budget P&amp;L'!N101</f>
        <v/>
      </c>
      <c r="D101" s="9">
        <f>B101-C101</f>
        <v/>
      </c>
      <c r="E101" s="22">
        <f>IFERROR(D101/ABS(C101),0)</f>
        <v/>
      </c>
    </row>
    <row r="102">
      <c r="A102" s="21" t="inlineStr">
        <is>
          <t>Subscriptions &amp; Licences - Expense</t>
        </is>
      </c>
      <c r="B102" s="9">
        <f>'This Year'!N102</f>
        <v/>
      </c>
      <c r="C102" s="9">
        <f>'Budget P&amp;L'!N102</f>
        <v/>
      </c>
      <c r="D102" s="9">
        <f>B102-C102</f>
        <v/>
      </c>
      <c r="E102" s="22">
        <f>IFERROR(D102/ABS(C102),0)</f>
        <v/>
      </c>
    </row>
    <row r="103">
      <c r="A103" s="21" t="inlineStr">
        <is>
          <t>Supplier Per Diems - ADMIN</t>
        </is>
      </c>
      <c r="B103" s="9">
        <f>'This Year'!N103</f>
        <v/>
      </c>
      <c r="C103" s="9">
        <f>'Budget P&amp;L'!N103</f>
        <v/>
      </c>
      <c r="D103" s="9">
        <f>B103-C103</f>
        <v/>
      </c>
      <c r="E103" s="22">
        <f>IFERROR(D103/ABS(C103),0)</f>
        <v/>
      </c>
    </row>
    <row r="104">
      <c r="A104" s="21" t="inlineStr">
        <is>
          <t>Supplier Per Diems - CONS</t>
        </is>
      </c>
      <c r="B104" s="9">
        <f>'This Year'!N104</f>
        <v/>
      </c>
      <c r="C104" s="9">
        <f>'Budget P&amp;L'!N104</f>
        <v/>
      </c>
      <c r="D104" s="9">
        <f>B104-C104</f>
        <v/>
      </c>
      <c r="E104" s="22">
        <f>IFERROR(D104/ABS(C104),0)</f>
        <v/>
      </c>
    </row>
    <row r="105">
      <c r="A105" s="21" t="inlineStr">
        <is>
          <t>Supplier Per Diems - INTEGRATION</t>
        </is>
      </c>
      <c r="B105" s="9">
        <f>'This Year'!N105</f>
        <v/>
      </c>
      <c r="C105" s="9">
        <f>'Budget P&amp;L'!N105</f>
        <v/>
      </c>
      <c r="D105" s="9">
        <f>B105-C105</f>
        <v/>
      </c>
      <c r="E105" s="22">
        <f>IFERROR(D105/ABS(C105),0)</f>
        <v/>
      </c>
    </row>
    <row r="106">
      <c r="A106" s="21" t="inlineStr">
        <is>
          <t>Supplier Per Diems - ONS</t>
        </is>
      </c>
      <c r="B106" s="9">
        <f>'This Year'!N106</f>
        <v/>
      </c>
      <c r="C106" s="9">
        <f>'Budget P&amp;L'!N106</f>
        <v/>
      </c>
      <c r="D106" s="9">
        <f>B106-C106</f>
        <v/>
      </c>
      <c r="E106" s="22">
        <f>IFERROR(D106/ABS(C106),0)</f>
        <v/>
      </c>
    </row>
    <row r="107">
      <c r="A107" s="21" t="inlineStr">
        <is>
          <t>Supplier Per Diems - PRD</t>
        </is>
      </c>
      <c r="B107" s="9">
        <f>'This Year'!N107</f>
        <v/>
      </c>
      <c r="C107" s="9">
        <f>'Budget P&amp;L'!N107</f>
        <v/>
      </c>
      <c r="D107" s="9">
        <f>B107-C107</f>
        <v/>
      </c>
      <c r="E107" s="22">
        <f>IFERROR(D107/ABS(C107),0)</f>
        <v/>
      </c>
    </row>
    <row r="108">
      <c r="A108" s="21" t="inlineStr">
        <is>
          <t>Supplier Per Diems - VID</t>
        </is>
      </c>
      <c r="B108" s="9">
        <f>'This Year'!N108</f>
        <v/>
      </c>
      <c r="C108" s="9">
        <f>'Budget P&amp;L'!N108</f>
        <v/>
      </c>
      <c r="D108" s="9">
        <f>B108-C108</f>
        <v/>
      </c>
      <c r="E108" s="22">
        <f>IFERROR(D108/ABS(C108),0)</f>
        <v/>
      </c>
    </row>
    <row r="109">
      <c r="A109" s="23" t="inlineStr">
        <is>
          <t>Total Cost of Sales</t>
        </is>
      </c>
      <c r="B109" s="12">
        <f>'This Year'!N109</f>
        <v/>
      </c>
      <c r="C109" s="12">
        <f>'Budget P&amp;L'!N109</f>
        <v/>
      </c>
      <c r="D109" s="12">
        <f>B109-C109</f>
        <v/>
      </c>
      <c r="E109" s="13">
        <f>IFERROR(D109/ABS(C109),0)</f>
        <v/>
      </c>
    </row>
    <row r="111">
      <c r="A111" s="20" t="inlineStr">
        <is>
          <t>GROSS PROFIT</t>
        </is>
      </c>
      <c r="B111" s="12">
        <f>'This Year'!N111</f>
        <v/>
      </c>
      <c r="C111" s="12">
        <f>'Budget P&amp;L'!N111</f>
        <v/>
      </c>
      <c r="D111" s="12">
        <f>B111-C111</f>
        <v/>
      </c>
      <c r="E111" s="13">
        <f>IFERROR(D111/ABS(C111),0)</f>
        <v/>
      </c>
    </row>
    <row r="112">
      <c r="A112" s="23" t="inlineStr">
        <is>
          <t>Gross Profit %</t>
        </is>
      </c>
      <c r="B112" s="13">
        <f>'This Year'!N112</f>
        <v/>
      </c>
      <c r="C112" s="13">
        <f>'Budget P&amp;L'!N112</f>
        <v/>
      </c>
      <c r="D112" s="13">
        <f>B112-C112</f>
        <v/>
      </c>
      <c r="E112" s="13" t="inlineStr"/>
    </row>
    <row r="114">
      <c r="A114" s="20" t="inlineStr">
        <is>
          <t>OTHER INCOME</t>
        </is>
      </c>
      <c r="B114" s="12">
        <f>'This Year'!N114</f>
        <v/>
      </c>
      <c r="C114" s="12">
        <f>'Budget P&amp;L'!N114</f>
        <v/>
      </c>
      <c r="D114" s="12">
        <f>B114-C114</f>
        <v/>
      </c>
      <c r="E114" s="13">
        <f>IFERROR(D114/ABS(C114),0)</f>
        <v/>
      </c>
    </row>
    <row r="115">
      <c r="A115" s="21" t="inlineStr">
        <is>
          <t>Cash Flow Boost</t>
        </is>
      </c>
      <c r="B115" s="9">
        <f>'This Year'!N115</f>
        <v/>
      </c>
      <c r="C115" s="9">
        <f>'Budget P&amp;L'!N115</f>
        <v/>
      </c>
      <c r="D115" s="9">
        <f>B115-C115</f>
        <v/>
      </c>
      <c r="E115" s="22">
        <f>IFERROR(D115/ABS(C115),0)</f>
        <v/>
      </c>
    </row>
    <row r="116">
      <c r="A116" s="21" t="inlineStr">
        <is>
          <t>Employee FBT Contribtution</t>
        </is>
      </c>
      <c r="B116" s="9">
        <f>'This Year'!N116</f>
        <v/>
      </c>
      <c r="C116" s="9">
        <f>'Budget P&amp;L'!N116</f>
        <v/>
      </c>
      <c r="D116" s="9">
        <f>B116-C116</f>
        <v/>
      </c>
      <c r="E116" s="22">
        <f>IFERROR(D116/ABS(C116),0)</f>
        <v/>
      </c>
    </row>
    <row r="117">
      <c r="A117" s="21" t="inlineStr">
        <is>
          <t>Gain on lease termination</t>
        </is>
      </c>
      <c r="B117" s="9">
        <f>'This Year'!N117</f>
        <v/>
      </c>
      <c r="C117" s="9">
        <f>'Budget P&amp;L'!N117</f>
        <v/>
      </c>
      <c r="D117" s="9">
        <f>B117-C117</f>
        <v/>
      </c>
      <c r="E117" s="22">
        <f>IFERROR(D117/ABS(C117),0)</f>
        <v/>
      </c>
    </row>
    <row r="118">
      <c r="A118" s="21" t="inlineStr">
        <is>
          <t>Income Other</t>
        </is>
      </c>
      <c r="B118" s="9">
        <f>'This Year'!N118</f>
        <v/>
      </c>
      <c r="C118" s="9">
        <f>'Budget P&amp;L'!N118</f>
        <v/>
      </c>
      <c r="D118" s="9">
        <f>B118-C118</f>
        <v/>
      </c>
      <c r="E118" s="22">
        <f>IFERROR(D118/ABS(C118),0)</f>
        <v/>
      </c>
    </row>
    <row r="119">
      <c r="A119" s="21" t="inlineStr">
        <is>
          <t>Interest Income</t>
        </is>
      </c>
      <c r="B119" s="9">
        <f>'This Year'!N119</f>
        <v/>
      </c>
      <c r="C119" s="9">
        <f>'Budget P&amp;L'!N119</f>
        <v/>
      </c>
      <c r="D119" s="9">
        <f>B119-C119</f>
        <v/>
      </c>
      <c r="E119" s="22">
        <f>IFERROR(D119/ABS(C119),0)</f>
        <v/>
      </c>
    </row>
    <row r="120">
      <c r="A120" s="21" t="inlineStr">
        <is>
          <t>Interest Received</t>
        </is>
      </c>
      <c r="B120" s="9">
        <f>'This Year'!N120</f>
        <v/>
      </c>
      <c r="C120" s="9">
        <f>'Budget P&amp;L'!N120</f>
        <v/>
      </c>
      <c r="D120" s="9">
        <f>B120-C120</f>
        <v/>
      </c>
      <c r="E120" s="22">
        <f>IFERROR(D120/ABS(C120),0)</f>
        <v/>
      </c>
    </row>
    <row r="121">
      <c r="A121" s="21" t="inlineStr">
        <is>
          <t>JobKeeper Subsidy</t>
        </is>
      </c>
      <c r="B121" s="9">
        <f>'This Year'!N121</f>
        <v/>
      </c>
      <c r="C121" s="9">
        <f>'Budget P&amp;L'!N121</f>
        <v/>
      </c>
      <c r="D121" s="9">
        <f>B121-C121</f>
        <v/>
      </c>
      <c r="E121" s="22">
        <f>IFERROR(D121/ABS(C121),0)</f>
        <v/>
      </c>
    </row>
    <row r="122">
      <c r="A122" s="21" t="inlineStr">
        <is>
          <t>JobSaver Subsidy</t>
        </is>
      </c>
      <c r="B122" s="9">
        <f>'This Year'!N122</f>
        <v/>
      </c>
      <c r="C122" s="9">
        <f>'Budget P&amp;L'!N122</f>
        <v/>
      </c>
      <c r="D122" s="9">
        <f>B122-C122</f>
        <v/>
      </c>
      <c r="E122" s="22">
        <f>IFERROR(D122/ABS(C122),0)</f>
        <v/>
      </c>
    </row>
    <row r="123">
      <c r="A123" s="21" t="inlineStr">
        <is>
          <t>Rental Income</t>
        </is>
      </c>
      <c r="B123" s="9">
        <f>'This Year'!N123</f>
        <v/>
      </c>
      <c r="C123" s="9">
        <f>'Budget P&amp;L'!N123</f>
        <v/>
      </c>
      <c r="D123" s="9">
        <f>B123-C123</f>
        <v/>
      </c>
      <c r="E123" s="22">
        <f>IFERROR(D123/ABS(C123),0)</f>
        <v/>
      </c>
    </row>
    <row r="124">
      <c r="A124" s="23" t="inlineStr">
        <is>
          <t>Total Other Income</t>
        </is>
      </c>
      <c r="B124" s="12">
        <f>'This Year'!N124</f>
        <v/>
      </c>
      <c r="C124" s="12">
        <f>'Budget P&amp;L'!N124</f>
        <v/>
      </c>
      <c r="D124" s="12">
        <f>B124-C124</f>
        <v/>
      </c>
      <c r="E124" s="13">
        <f>IFERROR(D124/ABS(C124),0)</f>
        <v/>
      </c>
    </row>
    <row r="126">
      <c r="A126" s="20" t="inlineStr">
        <is>
          <t>EXPENSES</t>
        </is>
      </c>
      <c r="B126" s="12">
        <f>'This Year'!N126</f>
        <v/>
      </c>
      <c r="C126" s="12">
        <f>'Budget P&amp;L'!N126</f>
        <v/>
      </c>
      <c r="D126" s="12">
        <f>B126-C126</f>
        <v/>
      </c>
      <c r="E126" s="13">
        <f>IFERROR(D126/ABS(C126),0)</f>
        <v/>
      </c>
    </row>
    <row r="127">
      <c r="A127" s="21" t="inlineStr">
        <is>
          <t>1300 Number</t>
        </is>
      </c>
      <c r="B127" s="9">
        <f>'This Year'!N127</f>
        <v/>
      </c>
      <c r="C127" s="9">
        <f>'Budget P&amp;L'!N127</f>
        <v/>
      </c>
      <c r="D127" s="9">
        <f>B127-C127</f>
        <v/>
      </c>
      <c r="E127" s="22">
        <f>IFERROR(D127/ABS(C127),0)</f>
        <v/>
      </c>
    </row>
    <row r="128">
      <c r="A128" s="21" t="inlineStr">
        <is>
          <t>Accounting Fees</t>
        </is>
      </c>
      <c r="B128" s="9">
        <f>'This Year'!N128</f>
        <v/>
      </c>
      <c r="C128" s="9">
        <f>'Budget P&amp;L'!N128</f>
        <v/>
      </c>
      <c r="D128" s="9">
        <f>B128-C128</f>
        <v/>
      </c>
      <c r="E128" s="22">
        <f>IFERROR(D128/ABS(C128),0)</f>
        <v/>
      </c>
    </row>
    <row r="129">
      <c r="A129" s="21" t="inlineStr">
        <is>
          <t>Advertising</t>
        </is>
      </c>
      <c r="B129" s="9">
        <f>'This Year'!N129</f>
        <v/>
      </c>
      <c r="C129" s="9">
        <f>'Budget P&amp;L'!N129</f>
        <v/>
      </c>
      <c r="D129" s="9">
        <f>B129-C129</f>
        <v/>
      </c>
      <c r="E129" s="22">
        <f>IFERROR(D129/ABS(C129),0)</f>
        <v/>
      </c>
    </row>
    <row r="130">
      <c r="A130" s="21" t="inlineStr">
        <is>
          <t>Bad Debts</t>
        </is>
      </c>
      <c r="B130" s="9">
        <f>'This Year'!N130</f>
        <v/>
      </c>
      <c r="C130" s="9">
        <f>'Budget P&amp;L'!N130</f>
        <v/>
      </c>
      <c r="D130" s="9">
        <f>B130-C130</f>
        <v/>
      </c>
      <c r="E130" s="22">
        <f>IFERROR(D130/ABS(C130),0)</f>
        <v/>
      </c>
    </row>
    <row r="131">
      <c r="A131" s="21" t="inlineStr">
        <is>
          <t>Bank Charges</t>
        </is>
      </c>
      <c r="B131" s="9">
        <f>'This Year'!N131</f>
        <v/>
      </c>
      <c r="C131" s="9">
        <f>'Budget P&amp;L'!N131</f>
        <v/>
      </c>
      <c r="D131" s="9">
        <f>B131-C131</f>
        <v/>
      </c>
      <c r="E131" s="22">
        <f>IFERROR(D131/ABS(C131),0)</f>
        <v/>
      </c>
    </row>
    <row r="132">
      <c r="A132" s="21" t="inlineStr">
        <is>
          <t>Bank Revaluations</t>
        </is>
      </c>
      <c r="B132" s="9">
        <f>'This Year'!N132</f>
        <v/>
      </c>
      <c r="C132" s="9">
        <f>'Budget P&amp;L'!N132</f>
        <v/>
      </c>
      <c r="D132" s="9">
        <f>B132-C132</f>
        <v/>
      </c>
      <c r="E132" s="22">
        <f>IFERROR(D132/ABS(C132),0)</f>
        <v/>
      </c>
    </row>
    <row r="133">
      <c r="A133" s="21" t="inlineStr">
        <is>
          <t>Business Advisory</t>
        </is>
      </c>
      <c r="B133" s="9">
        <f>'This Year'!N133</f>
        <v/>
      </c>
      <c r="C133" s="9">
        <f>'Budget P&amp;L'!N133</f>
        <v/>
      </c>
      <c r="D133" s="9">
        <f>B133-C133</f>
        <v/>
      </c>
      <c r="E133" s="22">
        <f>IFERROR(D133/ABS(C133),0)</f>
        <v/>
      </c>
    </row>
    <row r="134">
      <c r="A134" s="21" t="inlineStr">
        <is>
          <t>Business Combined</t>
        </is>
      </c>
      <c r="B134" s="9">
        <f>'This Year'!N134</f>
        <v/>
      </c>
      <c r="C134" s="9">
        <f>'Budget P&amp;L'!N134</f>
        <v/>
      </c>
      <c r="D134" s="9">
        <f>B134-C134</f>
        <v/>
      </c>
      <c r="E134" s="22">
        <f>IFERROR(D134/ABS(C134),0)</f>
        <v/>
      </c>
    </row>
    <row r="135">
      <c r="A135" s="21" t="inlineStr">
        <is>
          <t>Client Entertainment</t>
        </is>
      </c>
      <c r="B135" s="9">
        <f>'This Year'!N135</f>
        <v/>
      </c>
      <c r="C135" s="9">
        <f>'Budget P&amp;L'!N135</f>
        <v/>
      </c>
      <c r="D135" s="9">
        <f>B135-C135</f>
        <v/>
      </c>
      <c r="E135" s="22">
        <f>IFERROR(D135/ABS(C135),0)</f>
        <v/>
      </c>
    </row>
    <row r="136">
      <c r="A136" s="21" t="inlineStr">
        <is>
          <t>Credit Card Fees Paid</t>
        </is>
      </c>
      <c r="B136" s="9">
        <f>'This Year'!N136</f>
        <v/>
      </c>
      <c r="C136" s="9">
        <f>'Budget P&amp;L'!N136</f>
        <v/>
      </c>
      <c r="D136" s="9">
        <f>B136-C136</f>
        <v/>
      </c>
      <c r="E136" s="22">
        <f>IFERROR(D136/ABS(C136),0)</f>
        <v/>
      </c>
    </row>
    <row r="137">
      <c r="A137" s="21" t="inlineStr">
        <is>
          <t>Custodian Vaults</t>
        </is>
      </c>
      <c r="B137" s="9">
        <f>'This Year'!N137</f>
        <v/>
      </c>
      <c r="C137" s="9">
        <f>'Budget P&amp;L'!N137</f>
        <v/>
      </c>
      <c r="D137" s="9">
        <f>B137-C137</f>
        <v/>
      </c>
      <c r="E137" s="22">
        <f>IFERROR(D137/ABS(C137),0)</f>
        <v/>
      </c>
    </row>
    <row r="138">
      <c r="A138" s="21" t="inlineStr">
        <is>
          <t>Depreciation</t>
        </is>
      </c>
      <c r="B138" s="9">
        <f>'This Year'!N138</f>
        <v/>
      </c>
      <c r="C138" s="9">
        <f>'Budget P&amp;L'!N138</f>
        <v/>
      </c>
      <c r="D138" s="9">
        <f>B138-C138</f>
        <v/>
      </c>
      <c r="E138" s="22">
        <f>IFERROR(D138/ABS(C138),0)</f>
        <v/>
      </c>
    </row>
    <row r="139">
      <c r="A139" s="21" t="inlineStr">
        <is>
          <t>Depreciation - ROU</t>
        </is>
      </c>
      <c r="B139" s="9">
        <f>'This Year'!N139</f>
        <v/>
      </c>
      <c r="C139" s="9">
        <f>'Budget P&amp;L'!N139</f>
        <v/>
      </c>
      <c r="D139" s="9">
        <f>B139-C139</f>
        <v/>
      </c>
      <c r="E139" s="22">
        <f>IFERROR(D139/ABS(C139),0)</f>
        <v/>
      </c>
    </row>
    <row r="140">
      <c r="A140" s="21" t="inlineStr">
        <is>
          <t>Discounts Taken</t>
        </is>
      </c>
      <c r="B140" s="9">
        <f>'This Year'!N140</f>
        <v/>
      </c>
      <c r="C140" s="9">
        <f>'Budget P&amp;L'!N140</f>
        <v/>
      </c>
      <c r="D140" s="9">
        <f>B140-C140</f>
        <v/>
      </c>
      <c r="E140" s="22">
        <f>IFERROR(D140/ABS(C140),0)</f>
        <v/>
      </c>
    </row>
    <row r="141">
      <c r="A141" s="21" t="inlineStr">
        <is>
          <t>Disposal of fixed assets</t>
        </is>
      </c>
      <c r="B141" s="9">
        <f>'This Year'!N141</f>
        <v/>
      </c>
      <c r="C141" s="9">
        <f>'Budget P&amp;L'!N141</f>
        <v/>
      </c>
      <c r="D141" s="9">
        <f>B141-C141</f>
        <v/>
      </c>
      <c r="E141" s="22">
        <f>IFERROR(D141/ABS(C141),0)</f>
        <v/>
      </c>
    </row>
    <row r="142">
      <c r="A142" s="21" t="inlineStr">
        <is>
          <t>Dividend paid [93000]</t>
        </is>
      </c>
      <c r="B142" s="9">
        <f>'This Year'!N142</f>
        <v/>
      </c>
      <c r="C142" s="9">
        <f>'Budget P&amp;L'!N142</f>
        <v/>
      </c>
      <c r="D142" s="9">
        <f>B142-C142</f>
        <v/>
      </c>
      <c r="E142" s="22">
        <f>IFERROR(D142/ABS(C142),0)</f>
        <v/>
      </c>
    </row>
    <row r="143">
      <c r="A143" s="21" t="inlineStr">
        <is>
          <t>Donations / Charity</t>
        </is>
      </c>
      <c r="B143" s="9">
        <f>'This Year'!N143</f>
        <v/>
      </c>
      <c r="C143" s="9">
        <f>'Budget P&amp;L'!N143</f>
        <v/>
      </c>
      <c r="D143" s="9">
        <f>B143-C143</f>
        <v/>
      </c>
      <c r="E143" s="22">
        <f>IFERROR(D143/ABS(C143),0)</f>
        <v/>
      </c>
    </row>
    <row r="144">
      <c r="A144" s="21" t="inlineStr">
        <is>
          <t>Dues &amp; Subscriptions</t>
        </is>
      </c>
      <c r="B144" s="9">
        <f>'This Year'!N144</f>
        <v/>
      </c>
      <c r="C144" s="9">
        <f>'Budget P&amp;L'!N144</f>
        <v/>
      </c>
      <c r="D144" s="9">
        <f>B144-C144</f>
        <v/>
      </c>
      <c r="E144" s="22">
        <f>IFERROR(D144/ABS(C144),0)</f>
        <v/>
      </c>
    </row>
    <row r="145">
      <c r="A145" s="21" t="inlineStr">
        <is>
          <t>Electricity</t>
        </is>
      </c>
      <c r="B145" s="9">
        <f>'This Year'!N145</f>
        <v/>
      </c>
      <c r="C145" s="9">
        <f>'Budget P&amp;L'!N145</f>
        <v/>
      </c>
      <c r="D145" s="9">
        <f>B145-C145</f>
        <v/>
      </c>
      <c r="E145" s="22">
        <f>IFERROR(D145/ABS(C145),0)</f>
        <v/>
      </c>
    </row>
    <row r="146">
      <c r="A146" s="21" t="inlineStr">
        <is>
          <t>Fax</t>
        </is>
      </c>
      <c r="B146" s="9">
        <f>'This Year'!N146</f>
        <v/>
      </c>
      <c r="C146" s="9">
        <f>'Budget P&amp;L'!N146</f>
        <v/>
      </c>
      <c r="D146" s="9">
        <f>B146-C146</f>
        <v/>
      </c>
      <c r="E146" s="22">
        <f>IFERROR(D146/ABS(C146),0)</f>
        <v/>
      </c>
    </row>
    <row r="147">
      <c r="A147" s="21" t="inlineStr">
        <is>
          <t>Filing Fee</t>
        </is>
      </c>
      <c r="B147" s="9">
        <f>'This Year'!N147</f>
        <v/>
      </c>
      <c r="C147" s="9">
        <f>'Budget P&amp;L'!N147</f>
        <v/>
      </c>
      <c r="D147" s="9">
        <f>B147-C147</f>
        <v/>
      </c>
      <c r="E147" s="22">
        <f>IFERROR(D147/ABS(C147),0)</f>
        <v/>
      </c>
    </row>
    <row r="148">
      <c r="A148" s="21" t="inlineStr">
        <is>
          <t>Foreign Currency Translation*</t>
        </is>
      </c>
      <c r="B148" s="9">
        <f>'This Year'!N148</f>
        <v/>
      </c>
      <c r="C148" s="9">
        <f>'Budget P&amp;L'!N148</f>
        <v/>
      </c>
      <c r="D148" s="9">
        <f>B148-C148</f>
        <v/>
      </c>
      <c r="E148" s="22">
        <f>IFERROR(D148/ABS(C148),0)</f>
        <v/>
      </c>
    </row>
    <row r="149">
      <c r="A149" s="21" t="inlineStr">
        <is>
          <t>Freight Paid</t>
        </is>
      </c>
      <c r="B149" s="9">
        <f>'This Year'!N149</f>
        <v/>
      </c>
      <c r="C149" s="9">
        <f>'Budget P&amp;L'!N149</f>
        <v/>
      </c>
      <c r="D149" s="9">
        <f>B149-C149</f>
        <v/>
      </c>
      <c r="E149" s="22">
        <f>IFERROR(D149/ABS(C149),0)</f>
        <v/>
      </c>
    </row>
    <row r="150">
      <c r="A150" s="21" t="inlineStr">
        <is>
          <t>Fringe Benefits Tax</t>
        </is>
      </c>
      <c r="B150" s="9">
        <f>'This Year'!N150</f>
        <v/>
      </c>
      <c r="C150" s="9">
        <f>'Budget P&amp;L'!N150</f>
        <v/>
      </c>
      <c r="D150" s="9">
        <f>B150-C150</f>
        <v/>
      </c>
      <c r="E150" s="22">
        <f>IFERROR(D150/ABS(C150),0)</f>
        <v/>
      </c>
    </row>
    <row r="151">
      <c r="A151" s="21" t="inlineStr">
        <is>
          <t>IT Network Service &amp; Support</t>
        </is>
      </c>
      <c r="B151" s="9">
        <f>'This Year'!N151</f>
        <v/>
      </c>
      <c r="C151" s="9">
        <f>'Budget P&amp;L'!N151</f>
        <v/>
      </c>
      <c r="D151" s="9">
        <f>B151-C151</f>
        <v/>
      </c>
      <c r="E151" s="22">
        <f>IFERROR(D151/ABS(C151),0)</f>
        <v/>
      </c>
    </row>
    <row r="152">
      <c r="A152" s="21" t="inlineStr">
        <is>
          <t>Income Tax Expense</t>
        </is>
      </c>
      <c r="B152" s="9">
        <f>'This Year'!N152</f>
        <v/>
      </c>
      <c r="C152" s="9">
        <f>'Budget P&amp;L'!N152</f>
        <v/>
      </c>
      <c r="D152" s="9">
        <f>B152-C152</f>
        <v/>
      </c>
      <c r="E152" s="22">
        <f>IFERROR(D152/ABS(C152),0)</f>
        <v/>
      </c>
    </row>
    <row r="153">
      <c r="A153" s="21" t="inlineStr">
        <is>
          <t>Indirect Salaries - ADMIN</t>
        </is>
      </c>
      <c r="B153" s="9">
        <f>'This Year'!N153</f>
        <v/>
      </c>
      <c r="C153" s="9">
        <f>'Budget P&amp;L'!N153</f>
        <v/>
      </c>
      <c r="D153" s="9">
        <f>B153-C153</f>
        <v/>
      </c>
      <c r="E153" s="22">
        <f>IFERROR(D153/ABS(C153),0)</f>
        <v/>
      </c>
    </row>
    <row r="154">
      <c r="A154" s="21" t="inlineStr">
        <is>
          <t>Indirect Salaries - CONS</t>
        </is>
      </c>
      <c r="B154" s="9">
        <f>'This Year'!N154</f>
        <v/>
      </c>
      <c r="C154" s="9">
        <f>'Budget P&amp;L'!N154</f>
        <v/>
      </c>
      <c r="D154" s="9">
        <f>B154-C154</f>
        <v/>
      </c>
      <c r="E154" s="22">
        <f>IFERROR(D154/ABS(C154),0)</f>
        <v/>
      </c>
    </row>
    <row r="155">
      <c r="A155" s="21" t="inlineStr">
        <is>
          <t>Indirect Salaries - INTEGRATION</t>
        </is>
      </c>
      <c r="B155" s="9">
        <f>'This Year'!N155</f>
        <v/>
      </c>
      <c r="C155" s="9">
        <f>'Budget P&amp;L'!N155</f>
        <v/>
      </c>
      <c r="D155" s="9">
        <f>B155-C155</f>
        <v/>
      </c>
      <c r="E155" s="22">
        <f>IFERROR(D155/ABS(C155),0)</f>
        <v/>
      </c>
    </row>
    <row r="156">
      <c r="A156" s="21" t="inlineStr">
        <is>
          <t>Indirect Salaries - ONS</t>
        </is>
      </c>
      <c r="B156" s="9">
        <f>'This Year'!N156</f>
        <v/>
      </c>
      <c r="C156" s="9">
        <f>'Budget P&amp;L'!N156</f>
        <v/>
      </c>
      <c r="D156" s="9">
        <f>B156-C156</f>
        <v/>
      </c>
      <c r="E156" s="22">
        <f>IFERROR(D156/ABS(C156),0)</f>
        <v/>
      </c>
    </row>
    <row r="157">
      <c r="A157" s="21" t="inlineStr">
        <is>
          <t>Indirect Salaries - PRD</t>
        </is>
      </c>
      <c r="B157" s="9">
        <f>'This Year'!N157</f>
        <v/>
      </c>
      <c r="C157" s="9">
        <f>'Budget P&amp;L'!N157</f>
        <v/>
      </c>
      <c r="D157" s="9">
        <f>B157-C157</f>
        <v/>
      </c>
      <c r="E157" s="22">
        <f>IFERROR(D157/ABS(C157),0)</f>
        <v/>
      </c>
    </row>
    <row r="158">
      <c r="A158" s="21" t="inlineStr">
        <is>
          <t>Indirect Salaries - VID</t>
        </is>
      </c>
      <c r="B158" s="9">
        <f>'This Year'!N158</f>
        <v/>
      </c>
      <c r="C158" s="9">
        <f>'Budget P&amp;L'!N158</f>
        <v/>
      </c>
      <c r="D158" s="9">
        <f>B158-C158</f>
        <v/>
      </c>
      <c r="E158" s="22">
        <f>IFERROR(D158/ABS(C158),0)</f>
        <v/>
      </c>
    </row>
    <row r="159">
      <c r="A159" s="21" t="inlineStr">
        <is>
          <t>Indirect Wages - ADMIN</t>
        </is>
      </c>
      <c r="B159" s="9">
        <f>'This Year'!N159</f>
        <v/>
      </c>
      <c r="C159" s="9">
        <f>'Budget P&amp;L'!N159</f>
        <v/>
      </c>
      <c r="D159" s="9">
        <f>B159-C159</f>
        <v/>
      </c>
      <c r="E159" s="22">
        <f>IFERROR(D159/ABS(C159),0)</f>
        <v/>
      </c>
    </row>
    <row r="160">
      <c r="A160" s="21" t="inlineStr">
        <is>
          <t>Indirect Wages - CONS</t>
        </is>
      </c>
      <c r="B160" s="9">
        <f>'This Year'!N160</f>
        <v/>
      </c>
      <c r="C160" s="9">
        <f>'Budget P&amp;L'!N160</f>
        <v/>
      </c>
      <c r="D160" s="9">
        <f>B160-C160</f>
        <v/>
      </c>
      <c r="E160" s="22">
        <f>IFERROR(D160/ABS(C160),0)</f>
        <v/>
      </c>
    </row>
    <row r="161">
      <c r="A161" s="21" t="inlineStr">
        <is>
          <t>Indirect Wages - INTEGRATION</t>
        </is>
      </c>
      <c r="B161" s="9">
        <f>'This Year'!N161</f>
        <v/>
      </c>
      <c r="C161" s="9">
        <f>'Budget P&amp;L'!N161</f>
        <v/>
      </c>
      <c r="D161" s="9">
        <f>B161-C161</f>
        <v/>
      </c>
      <c r="E161" s="22">
        <f>IFERROR(D161/ABS(C161),0)</f>
        <v/>
      </c>
    </row>
    <row r="162">
      <c r="A162" s="21" t="inlineStr">
        <is>
          <t>Indirect Wages - ONS</t>
        </is>
      </c>
      <c r="B162" s="9">
        <f>'This Year'!N162</f>
        <v/>
      </c>
      <c r="C162" s="9">
        <f>'Budget P&amp;L'!N162</f>
        <v/>
      </c>
      <c r="D162" s="9">
        <f>B162-C162</f>
        <v/>
      </c>
      <c r="E162" s="22">
        <f>IFERROR(D162/ABS(C162),0)</f>
        <v/>
      </c>
    </row>
    <row r="163">
      <c r="A163" s="21" t="inlineStr">
        <is>
          <t>Indirect Wages - PRD</t>
        </is>
      </c>
      <c r="B163" s="9">
        <f>'This Year'!N163</f>
        <v/>
      </c>
      <c r="C163" s="9">
        <f>'Budget P&amp;L'!N163</f>
        <v/>
      </c>
      <c r="D163" s="9">
        <f>B163-C163</f>
        <v/>
      </c>
      <c r="E163" s="22">
        <f>IFERROR(D163/ABS(C163),0)</f>
        <v/>
      </c>
    </row>
    <row r="164">
      <c r="A164" s="21" t="inlineStr">
        <is>
          <t>Indirect Wages - VID</t>
        </is>
      </c>
      <c r="B164" s="9">
        <f>'This Year'!N164</f>
        <v/>
      </c>
      <c r="C164" s="9">
        <f>'Budget P&amp;L'!N164</f>
        <v/>
      </c>
      <c r="D164" s="9">
        <f>B164-C164</f>
        <v/>
      </c>
      <c r="E164" s="22">
        <f>IFERROR(D164/ABS(C164),0)</f>
        <v/>
      </c>
    </row>
    <row r="165">
      <c r="A165" s="21" t="inlineStr">
        <is>
          <t>Instant Asset Write Off</t>
        </is>
      </c>
      <c r="B165" s="9">
        <f>'This Year'!N165</f>
        <v/>
      </c>
      <c r="C165" s="9">
        <f>'Budget P&amp;L'!N165</f>
        <v/>
      </c>
      <c r="D165" s="9">
        <f>B165-C165</f>
        <v/>
      </c>
      <c r="E165" s="22">
        <f>IFERROR(D165/ABS(C165),0)</f>
        <v/>
      </c>
    </row>
    <row r="166">
      <c r="A166" s="21" t="inlineStr">
        <is>
          <t>Insurance</t>
        </is>
      </c>
      <c r="B166" s="9">
        <f>'This Year'!N166</f>
        <v/>
      </c>
      <c r="C166" s="9">
        <f>'Budget P&amp;L'!N166</f>
        <v/>
      </c>
      <c r="D166" s="9">
        <f>B166-C166</f>
        <v/>
      </c>
      <c r="E166" s="22">
        <f>IFERROR(D166/ABS(C166),0)</f>
        <v/>
      </c>
    </row>
    <row r="167">
      <c r="A167" s="21" t="inlineStr">
        <is>
          <t>Interest Expense</t>
        </is>
      </c>
      <c r="B167" s="9">
        <f>'This Year'!N167</f>
        <v/>
      </c>
      <c r="C167" s="9">
        <f>'Budget P&amp;L'!N167</f>
        <v/>
      </c>
      <c r="D167" s="9">
        <f>B167-C167</f>
        <v/>
      </c>
      <c r="E167" s="22">
        <f>IFERROR(D167/ABS(C167),0)</f>
        <v/>
      </c>
    </row>
    <row r="168">
      <c r="A168" s="21" t="inlineStr">
        <is>
          <t>Internet</t>
        </is>
      </c>
      <c r="B168" s="9">
        <f>'This Year'!N168</f>
        <v/>
      </c>
      <c r="C168" s="9">
        <f>'Budget P&amp;L'!N168</f>
        <v/>
      </c>
      <c r="D168" s="9">
        <f>B168-C168</f>
        <v/>
      </c>
      <c r="E168" s="22">
        <f>IFERROR(D168/ABS(C168),0)</f>
        <v/>
      </c>
    </row>
    <row r="169">
      <c r="A169" s="21" t="inlineStr">
        <is>
          <t>Leave expense (Annual)</t>
        </is>
      </c>
      <c r="B169" s="9">
        <f>'This Year'!N169</f>
        <v/>
      </c>
      <c r="C169" s="9">
        <f>'Budget P&amp;L'!N169</f>
        <v/>
      </c>
      <c r="D169" s="9">
        <f>B169-C169</f>
        <v/>
      </c>
      <c r="E169" s="22">
        <f>IFERROR(D169/ABS(C169),0)</f>
        <v/>
      </c>
    </row>
    <row r="170">
      <c r="A170" s="21" t="inlineStr">
        <is>
          <t>Leave expense (Long Service)</t>
        </is>
      </c>
      <c r="B170" s="9">
        <f>'This Year'!N170</f>
        <v/>
      </c>
      <c r="C170" s="9">
        <f>'Budget P&amp;L'!N170</f>
        <v/>
      </c>
      <c r="D170" s="9">
        <f>B170-C170</f>
        <v/>
      </c>
      <c r="E170" s="22">
        <f>IFERROR(D170/ABS(C170),0)</f>
        <v/>
      </c>
    </row>
    <row r="171">
      <c r="A171" s="21" t="inlineStr">
        <is>
          <t>Legal Fees</t>
        </is>
      </c>
      <c r="B171" s="9">
        <f>'This Year'!N171</f>
        <v/>
      </c>
      <c r="C171" s="9">
        <f>'Budget P&amp;L'!N171</f>
        <v/>
      </c>
      <c r="D171" s="9">
        <f>B171-C171</f>
        <v/>
      </c>
      <c r="E171" s="22">
        <f>IFERROR(D171/ABS(C171),0)</f>
        <v/>
      </c>
    </row>
    <row r="172">
      <c r="A172" s="21" t="inlineStr">
        <is>
          <t>Mobile Phones</t>
        </is>
      </c>
      <c r="B172" s="9">
        <f>'This Year'!N172</f>
        <v/>
      </c>
      <c r="C172" s="9">
        <f>'Budget P&amp;L'!N172</f>
        <v/>
      </c>
      <c r="D172" s="9">
        <f>B172-C172</f>
        <v/>
      </c>
      <c r="E172" s="22">
        <f>IFERROR(D172/ABS(C172),0)</f>
        <v/>
      </c>
    </row>
    <row r="173">
      <c r="A173" s="21" t="inlineStr">
        <is>
          <t>Office Cleaning</t>
        </is>
      </c>
      <c r="B173" s="9">
        <f>'This Year'!N173</f>
        <v/>
      </c>
      <c r="C173" s="9">
        <f>'Budget P&amp;L'!N173</f>
        <v/>
      </c>
      <c r="D173" s="9">
        <f>B173-C173</f>
        <v/>
      </c>
      <c r="E173" s="22">
        <f>IFERROR(D173/ABS(C173),0)</f>
        <v/>
      </c>
    </row>
    <row r="174">
      <c r="A174" s="21" t="inlineStr">
        <is>
          <t>Office Phones</t>
        </is>
      </c>
      <c r="B174" s="9">
        <f>'This Year'!N174</f>
        <v/>
      </c>
      <c r="C174" s="9">
        <f>'Budget P&amp;L'!N174</f>
        <v/>
      </c>
      <c r="D174" s="9">
        <f>B174-C174</f>
        <v/>
      </c>
      <c r="E174" s="22">
        <f>IFERROR(D174/ABS(C174),0)</f>
        <v/>
      </c>
    </row>
    <row r="175">
      <c r="A175" s="21" t="inlineStr">
        <is>
          <t>Office Rentals</t>
        </is>
      </c>
      <c r="B175" s="9">
        <f>'This Year'!N175</f>
        <v/>
      </c>
      <c r="C175" s="9">
        <f>'Budget P&amp;L'!N175</f>
        <v/>
      </c>
      <c r="D175" s="9">
        <f>B175-C175</f>
        <v/>
      </c>
      <c r="E175" s="22">
        <f>IFERROR(D175/ABS(C175),0)</f>
        <v/>
      </c>
    </row>
    <row r="176">
      <c r="A176" s="21" t="inlineStr">
        <is>
          <t>Office Supplies</t>
        </is>
      </c>
      <c r="B176" s="9">
        <f>'This Year'!N176</f>
        <v/>
      </c>
      <c r="C176" s="9">
        <f>'Budget P&amp;L'!N176</f>
        <v/>
      </c>
      <c r="D176" s="9">
        <f>B176-C176</f>
        <v/>
      </c>
      <c r="E176" s="22">
        <f>IFERROR(D176/ABS(C176),0)</f>
        <v/>
      </c>
    </row>
    <row r="177">
      <c r="A177" s="21" t="inlineStr">
        <is>
          <t>Office Supplies [61500]</t>
        </is>
      </c>
      <c r="B177" s="9">
        <f>'This Year'!N177</f>
        <v/>
      </c>
      <c r="C177" s="9">
        <f>'Budget P&amp;L'!N177</f>
        <v/>
      </c>
      <c r="D177" s="9">
        <f>B177-C177</f>
        <v/>
      </c>
      <c r="E177" s="22">
        <f>IFERROR(D177/ABS(C177),0)</f>
        <v/>
      </c>
    </row>
    <row r="178">
      <c r="A178" s="21" t="inlineStr">
        <is>
          <t>Other Expenses [64900]</t>
        </is>
      </c>
      <c r="B178" s="9">
        <f>'This Year'!N178</f>
        <v/>
      </c>
      <c r="C178" s="9">
        <f>'Budget P&amp;L'!N178</f>
        <v/>
      </c>
      <c r="D178" s="9">
        <f>B178-C178</f>
        <v/>
      </c>
      <c r="E178" s="22">
        <f>IFERROR(D178/ABS(C178),0)</f>
        <v/>
      </c>
    </row>
    <row r="179">
      <c r="A179" s="21" t="inlineStr">
        <is>
          <t>Other Insurance</t>
        </is>
      </c>
      <c r="B179" s="9">
        <f>'This Year'!N179</f>
        <v/>
      </c>
      <c r="C179" s="9">
        <f>'Budget P&amp;L'!N179</f>
        <v/>
      </c>
      <c r="D179" s="9">
        <f>B179-C179</f>
        <v/>
      </c>
      <c r="E179" s="22">
        <f>IFERROR(D179/ABS(C179),0)</f>
        <v/>
      </c>
    </row>
    <row r="180">
      <c r="A180" s="21" t="inlineStr">
        <is>
          <t>Other Telco Expenses</t>
        </is>
      </c>
      <c r="B180" s="9">
        <f>'This Year'!N180</f>
        <v/>
      </c>
      <c r="C180" s="9">
        <f>'Budget P&amp;L'!N180</f>
        <v/>
      </c>
      <c r="D180" s="9">
        <f>B180-C180</f>
        <v/>
      </c>
      <c r="E180" s="22">
        <f>IFERROR(D180/ABS(C180),0)</f>
        <v/>
      </c>
    </row>
    <row r="181">
      <c r="A181" s="21" t="inlineStr">
        <is>
          <t>Pager</t>
        </is>
      </c>
      <c r="B181" s="9">
        <f>'This Year'!N181</f>
        <v/>
      </c>
      <c r="C181" s="9">
        <f>'Budget P&amp;L'!N181</f>
        <v/>
      </c>
      <c r="D181" s="9">
        <f>B181-C181</f>
        <v/>
      </c>
      <c r="E181" s="22">
        <f>IFERROR(D181/ABS(C181),0)</f>
        <v/>
      </c>
    </row>
    <row r="182">
      <c r="A182" s="21" t="inlineStr">
        <is>
          <t>Payroll Processing Fee</t>
        </is>
      </c>
      <c r="B182" s="9">
        <f>'This Year'!N182</f>
        <v/>
      </c>
      <c r="C182" s="9">
        <f>'Budget P&amp;L'!N182</f>
        <v/>
      </c>
      <c r="D182" s="9">
        <f>B182-C182</f>
        <v/>
      </c>
      <c r="E182" s="22">
        <f>IFERROR(D182/ABS(C182),0)</f>
        <v/>
      </c>
    </row>
    <row r="183">
      <c r="A183" s="21" t="inlineStr">
        <is>
          <t>Payroll Tax</t>
        </is>
      </c>
      <c r="B183" s="9">
        <f>'This Year'!N183</f>
        <v/>
      </c>
      <c r="C183" s="9">
        <f>'Budget P&amp;L'!N183</f>
        <v/>
      </c>
      <c r="D183" s="9">
        <f>B183-C183</f>
        <v/>
      </c>
      <c r="E183" s="22">
        <f>IFERROR(D183/ABS(C183),0)</f>
        <v/>
      </c>
    </row>
    <row r="184">
      <c r="A184" s="21" t="inlineStr">
        <is>
          <t>Postage</t>
        </is>
      </c>
      <c r="B184" s="9">
        <f>'This Year'!N184</f>
        <v/>
      </c>
      <c r="C184" s="9">
        <f>'Budget P&amp;L'!N184</f>
        <v/>
      </c>
      <c r="D184" s="9">
        <f>B184-C184</f>
        <v/>
      </c>
      <c r="E184" s="22">
        <f>IFERROR(D184/ABS(C184),0)</f>
        <v/>
      </c>
    </row>
    <row r="185">
      <c r="A185" s="21" t="inlineStr">
        <is>
          <t>Printing</t>
        </is>
      </c>
      <c r="B185" s="9">
        <f>'This Year'!N185</f>
        <v/>
      </c>
      <c r="C185" s="9">
        <f>'Budget P&amp;L'!N185</f>
        <v/>
      </c>
      <c r="D185" s="9">
        <f>B185-C185</f>
        <v/>
      </c>
      <c r="E185" s="22">
        <f>IFERROR(D185/ABS(C185),0)</f>
        <v/>
      </c>
    </row>
    <row r="186">
      <c r="A186" s="21" t="inlineStr">
        <is>
          <t>Professional Indemnity</t>
        </is>
      </c>
      <c r="B186" s="9">
        <f>'This Year'!N186</f>
        <v/>
      </c>
      <c r="C186" s="9">
        <f>'Budget P&amp;L'!N186</f>
        <v/>
      </c>
      <c r="D186" s="9">
        <f>B186-C186</f>
        <v/>
      </c>
      <c r="E186" s="22">
        <f>IFERROR(D186/ABS(C186),0)</f>
        <v/>
      </c>
    </row>
    <row r="187">
      <c r="A187" s="21" t="inlineStr">
        <is>
          <t>Realised Currency Gains</t>
        </is>
      </c>
      <c r="B187" s="9">
        <f>'This Year'!N187</f>
        <v/>
      </c>
      <c r="C187" s="9">
        <f>'Budget P&amp;L'!N187</f>
        <v/>
      </c>
      <c r="D187" s="9">
        <f>B187-C187</f>
        <v/>
      </c>
      <c r="E187" s="22">
        <f>IFERROR(D187/ABS(C187),0)</f>
        <v/>
      </c>
    </row>
    <row r="188">
      <c r="A188" s="21" t="inlineStr">
        <is>
          <t>Recruitment</t>
        </is>
      </c>
      <c r="B188" s="9">
        <f>'This Year'!N188</f>
        <v/>
      </c>
      <c r="C188" s="9">
        <f>'Budget P&amp;L'!N188</f>
        <v/>
      </c>
      <c r="D188" s="9">
        <f>B188-C188</f>
        <v/>
      </c>
      <c r="E188" s="22">
        <f>IFERROR(D188/ABS(C188),0)</f>
        <v/>
      </c>
    </row>
    <row r="189">
      <c r="A189" s="21" t="inlineStr">
        <is>
          <t>Rent</t>
        </is>
      </c>
      <c r="B189" s="9">
        <f>'This Year'!N189</f>
        <v/>
      </c>
      <c r="C189" s="9">
        <f>'Budget P&amp;L'!N189</f>
        <v/>
      </c>
      <c r="D189" s="9">
        <f>B189-C189</f>
        <v/>
      </c>
      <c r="E189" s="22">
        <f>IFERROR(D189/ABS(C189),0)</f>
        <v/>
      </c>
    </row>
    <row r="190">
      <c r="A190" s="21" t="inlineStr">
        <is>
          <t>Rental Outgoings</t>
        </is>
      </c>
      <c r="B190" s="9">
        <f>'This Year'!N190</f>
        <v/>
      </c>
      <c r="C190" s="9">
        <f>'Budget P&amp;L'!N190</f>
        <v/>
      </c>
      <c r="D190" s="9">
        <f>B190-C190</f>
        <v/>
      </c>
      <c r="E190" s="22">
        <f>IFERROR(D190/ABS(C190),0)</f>
        <v/>
      </c>
    </row>
    <row r="191">
      <c r="A191" s="21" t="inlineStr">
        <is>
          <t>Repairs &amp; Maintenance</t>
        </is>
      </c>
      <c r="B191" s="9">
        <f>'This Year'!N191</f>
        <v/>
      </c>
      <c r="C191" s="9">
        <f>'Budget P&amp;L'!N191</f>
        <v/>
      </c>
      <c r="D191" s="9">
        <f>B191-C191</f>
        <v/>
      </c>
      <c r="E191" s="22">
        <f>IFERROR(D191/ABS(C191),0)</f>
        <v/>
      </c>
    </row>
    <row r="192">
      <c r="A192" s="21" t="inlineStr">
        <is>
          <t>Replacements</t>
        </is>
      </c>
      <c r="B192" s="9">
        <f>'This Year'!N192</f>
        <v/>
      </c>
      <c r="C192" s="9">
        <f>'Budget P&amp;L'!N192</f>
        <v/>
      </c>
      <c r="D192" s="9">
        <f>B192-C192</f>
        <v/>
      </c>
      <c r="E192" s="22">
        <f>IFERROR(D192/ABS(C192),0)</f>
        <v/>
      </c>
    </row>
    <row r="193">
      <c r="A193" s="21" t="inlineStr">
        <is>
          <t>SGC Penalties</t>
        </is>
      </c>
      <c r="B193" s="9">
        <f>'This Year'!N193</f>
        <v/>
      </c>
      <c r="C193" s="9">
        <f>'Budget P&amp;L'!N193</f>
        <v/>
      </c>
      <c r="D193" s="9">
        <f>B193-C193</f>
        <v/>
      </c>
      <c r="E193" s="22">
        <f>IFERROR(D193/ABS(C193),0)</f>
        <v/>
      </c>
    </row>
    <row r="194">
      <c r="A194" s="21" t="inlineStr">
        <is>
          <t>Staff Amenities</t>
        </is>
      </c>
      <c r="B194" s="9">
        <f>'This Year'!N194</f>
        <v/>
      </c>
      <c r="C194" s="9">
        <f>'Budget P&amp;L'!N194</f>
        <v/>
      </c>
      <c r="D194" s="9">
        <f>B194-C194</f>
        <v/>
      </c>
      <c r="E194" s="22">
        <f>IFERROR(D194/ABS(C194),0)</f>
        <v/>
      </c>
    </row>
    <row r="195">
      <c r="A195" s="21" t="inlineStr">
        <is>
          <t>Staff Entertainment</t>
        </is>
      </c>
      <c r="B195" s="9">
        <f>'This Year'!N195</f>
        <v/>
      </c>
      <c r="C195" s="9">
        <f>'Budget P&amp;L'!N195</f>
        <v/>
      </c>
      <c r="D195" s="9">
        <f>B195-C195</f>
        <v/>
      </c>
      <c r="E195" s="22">
        <f>IFERROR(D195/ABS(C195),0)</f>
        <v/>
      </c>
    </row>
    <row r="196">
      <c r="A196" s="21" t="inlineStr">
        <is>
          <t>Stamp Duty (Indirect)</t>
        </is>
      </c>
      <c r="B196" s="9">
        <f>'This Year'!N196</f>
        <v/>
      </c>
      <c r="C196" s="9">
        <f>'Budget P&amp;L'!N196</f>
        <v/>
      </c>
      <c r="D196" s="9">
        <f>B196-C196</f>
        <v/>
      </c>
      <c r="E196" s="22">
        <f>IFERROR(D196/ABS(C196),0)</f>
        <v/>
      </c>
    </row>
    <row r="197">
      <c r="A197" s="21" t="inlineStr">
        <is>
          <t>Storage Fees</t>
        </is>
      </c>
      <c r="B197" s="9">
        <f>'This Year'!N197</f>
        <v/>
      </c>
      <c r="C197" s="9">
        <f>'Budget P&amp;L'!N197</f>
        <v/>
      </c>
      <c r="D197" s="9">
        <f>B197-C197</f>
        <v/>
      </c>
      <c r="E197" s="22">
        <f>IFERROR(D197/ABS(C197),0)</f>
        <v/>
      </c>
    </row>
    <row r="198">
      <c r="A198" s="21" t="inlineStr">
        <is>
          <t>Stripe Fees</t>
        </is>
      </c>
      <c r="B198" s="9">
        <f>'This Year'!N198</f>
        <v/>
      </c>
      <c r="C198" s="9">
        <f>'Budget P&amp;L'!N198</f>
        <v/>
      </c>
      <c r="D198" s="9">
        <f>B198-C198</f>
        <v/>
      </c>
      <c r="E198" s="22">
        <f>IFERROR(D198/ABS(C198),0)</f>
        <v/>
      </c>
    </row>
    <row r="199">
      <c r="A199" s="21" t="inlineStr">
        <is>
          <t>Superannuation</t>
        </is>
      </c>
      <c r="B199" s="9">
        <f>'This Year'!N199</f>
        <v/>
      </c>
      <c r="C199" s="9">
        <f>'Budget P&amp;L'!N199</f>
        <v/>
      </c>
      <c r="D199" s="9">
        <f>B199-C199</f>
        <v/>
      </c>
      <c r="E199" s="22">
        <f>IFERROR(D199/ABS(C199),0)</f>
        <v/>
      </c>
    </row>
    <row r="200">
      <c r="A200" s="21" t="inlineStr">
        <is>
          <t>Taxis/Parking</t>
        </is>
      </c>
      <c r="B200" s="9">
        <f>'This Year'!N200</f>
        <v/>
      </c>
      <c r="C200" s="9">
        <f>'Budget P&amp;L'!N200</f>
        <v/>
      </c>
      <c r="D200" s="9">
        <f>B200-C200</f>
        <v/>
      </c>
      <c r="E200" s="22">
        <f>IFERROR(D200/ABS(C200),0)</f>
        <v/>
      </c>
    </row>
    <row r="201">
      <c r="A201" s="21" t="inlineStr">
        <is>
          <t>Training Material &amp; Courses</t>
        </is>
      </c>
      <c r="B201" s="9">
        <f>'This Year'!N201</f>
        <v/>
      </c>
      <c r="C201" s="9">
        <f>'Budget P&amp;L'!N201</f>
        <v/>
      </c>
      <c r="D201" s="9">
        <f>B201-C201</f>
        <v/>
      </c>
      <c r="E201" s="22">
        <f>IFERROR(D201/ABS(C201),0)</f>
        <v/>
      </c>
    </row>
    <row r="202">
      <c r="A202" s="21" t="inlineStr">
        <is>
          <t>Travel &amp; Per Diems</t>
        </is>
      </c>
      <c r="B202" s="9">
        <f>'This Year'!N202</f>
        <v/>
      </c>
      <c r="C202" s="9">
        <f>'Budget P&amp;L'!N202</f>
        <v/>
      </c>
      <c r="D202" s="9">
        <f>B202-C202</f>
        <v/>
      </c>
      <c r="E202" s="22">
        <f>IFERROR(D202/ABS(C202),0)</f>
        <v/>
      </c>
    </row>
    <row r="203">
      <c r="A203" s="21" t="inlineStr">
        <is>
          <t>Travel Insurance</t>
        </is>
      </c>
      <c r="B203" s="9">
        <f>'This Year'!N203</f>
        <v/>
      </c>
      <c r="C203" s="9">
        <f>'Budget P&amp;L'!N203</f>
        <v/>
      </c>
      <c r="D203" s="9">
        <f>B203-C203</f>
        <v/>
      </c>
      <c r="E203" s="22">
        <f>IFERROR(D203/ABS(C203),0)</f>
        <v/>
      </c>
    </row>
    <row r="204">
      <c r="A204" s="21" t="inlineStr">
        <is>
          <t>Under/(Over) provision for tax</t>
        </is>
      </c>
      <c r="B204" s="9">
        <f>'This Year'!N204</f>
        <v/>
      </c>
      <c r="C204" s="9">
        <f>'Budget P&amp;L'!N204</f>
        <v/>
      </c>
      <c r="D204" s="9">
        <f>B204-C204</f>
        <v/>
      </c>
      <c r="E204" s="22">
        <f>IFERROR(D204/ABS(C204),0)</f>
        <v/>
      </c>
    </row>
    <row r="205">
      <c r="A205" s="21" t="inlineStr">
        <is>
          <t>Unrealised Currency Gains</t>
        </is>
      </c>
      <c r="B205" s="9">
        <f>'This Year'!N205</f>
        <v/>
      </c>
      <c r="C205" s="9">
        <f>'Budget P&amp;L'!N205</f>
        <v/>
      </c>
      <c r="D205" s="9">
        <f>B205-C205</f>
        <v/>
      </c>
      <c r="E205" s="22">
        <f>IFERROR(D205/ABS(C205),0)</f>
        <v/>
      </c>
    </row>
    <row r="206">
      <c r="A206" s="21" t="inlineStr">
        <is>
          <t>Workers' Compensation</t>
        </is>
      </c>
      <c r="B206" s="9">
        <f>'This Year'!N206</f>
        <v/>
      </c>
      <c r="C206" s="9">
        <f>'Budget P&amp;L'!N206</f>
        <v/>
      </c>
      <c r="D206" s="9">
        <f>B206-C206</f>
        <v/>
      </c>
      <c r="E206" s="22">
        <f>IFERROR(D206/ABS(C206),0)</f>
        <v/>
      </c>
    </row>
    <row r="207">
      <c r="A207" s="23" t="inlineStr">
        <is>
          <t>Total Expenses</t>
        </is>
      </c>
      <c r="B207" s="12">
        <f>'This Year'!N207</f>
        <v/>
      </c>
      <c r="C207" s="12">
        <f>'Budget P&amp;L'!N207</f>
        <v/>
      </c>
      <c r="D207" s="12">
        <f>B207-C207</f>
        <v/>
      </c>
      <c r="E207" s="13">
        <f>IFERROR(D207/ABS(C207),0)</f>
        <v/>
      </c>
    </row>
    <row r="209">
      <c r="A209" s="20" t="inlineStr">
        <is>
          <t>NET PROFIT</t>
        </is>
      </c>
      <c r="B209" s="12">
        <f>'This Year'!N209</f>
        <v/>
      </c>
      <c r="C209" s="12">
        <f>'Budget P&amp;L'!N209</f>
        <v/>
      </c>
      <c r="D209" s="12">
        <f>B209-C209</f>
        <v/>
      </c>
      <c r="E209" s="13">
        <f>IFERROR(D209/ABS(C209),0)</f>
        <v/>
      </c>
    </row>
    <row r="210">
      <c r="A210" s="23" t="inlineStr">
        <is>
          <t>Net Profit %</t>
        </is>
      </c>
      <c r="B210" s="13">
        <f>'This Year'!N210</f>
        <v/>
      </c>
      <c r="C210" s="13">
        <f>'Budget P&amp;L'!N210</f>
        <v/>
      </c>
      <c r="D210" s="13">
        <f>B210-C210</f>
        <v/>
      </c>
      <c r="E210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2026-09-03T10:17:02Z</dcterms:created>
  <dcterms:modified xmlns:dcterms="http://purl.org/dc/terms/" xmlns:xsi="http://www.w3.org/2001/XMLSchema-instance" xsi:type="dcterms:W3CDTF">2026-09-03T10:17:03Z</dcterms:modified>
</cp:coreProperties>
</file>